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<sst xmlns="http://schemas.openxmlformats.org/spreadsheetml/2006/main" count="145" uniqueCount="42">
  <si>
    <t xml:space="preserve">Sector #</t>
  </si>
  <si>
    <t xml:space="preserve">Alpha Source</t>
  </si>
  <si>
    <t xml:space="preserve">Dead Layer Thickness (um)</t>
  </si>
  <si>
    <t xml:space="preserve">Energy loss of 1 MeV triton (keV)</t>
  </si>
  <si>
    <t xml:space="preserve">Average energy loss of 1 MeV triton in sector (keV)</t>
  </si>
  <si>
    <t xml:space="preserve">Energy loss of 5 MeV triton (keV)</t>
  </si>
  <si>
    <t xml:space="preserve">Average energy loss of 5 MeV triton in sector (keV)</t>
  </si>
  <si>
    <t xml:space="preserve">Energy loss of 2.6 MeV triton (keV)</t>
  </si>
  <si>
    <t xml:space="preserve">Average energy loss of 2.6 MeV triton in sector (keV)</t>
  </si>
  <si>
    <t xml:space="preserve">Average dead layer thickness from 239Pu (um)</t>
  </si>
  <si>
    <t xml:space="preserve">Standard deviation (um)</t>
  </si>
  <si>
    <t xml:space="preserve">Average dead layer thickness from 241Am (um)</t>
  </si>
  <si>
    <t xml:space="preserve">Average dead layer thickness from 244Cm (um)</t>
  </si>
  <si>
    <t xml:space="preserve">Total average dead layer thickness (um)</t>
  </si>
  <si>
    <t xml:space="preserve">Uncertainty (um)</t>
  </si>
  <si>
    <t xml:space="preserve">Ring number #</t>
  </si>
  <si>
    <t xml:space="preserve">Lab angle of centre of ring (from -z) (deg)</t>
  </si>
  <si>
    <t xml:space="preserve">Effect on excitation energy (keV)</t>
  </si>
  <si>
    <t xml:space="preserve">239Pu</t>
  </si>
  <si>
    <t xml:space="preserve">241Am</t>
  </si>
  <si>
    <t xml:space="preserve">244Cm</t>
  </si>
  <si>
    <t xml:space="preserve">FAULTY</t>
  </si>
  <si>
    <t xml:space="preserve">Projectile</t>
  </si>
  <si>
    <t xml:space="preserve">Energy (MeV)</t>
  </si>
  <si>
    <t xml:space="preserve">Stopping medium</t>
  </si>
  <si>
    <t xml:space="preserve">Stopping power (keV/um)</t>
  </si>
  <si>
    <t xml:space="preserve">Alpha</t>
  </si>
  <si>
    <t xml:space="preserve">Si</t>
  </si>
  <si>
    <t xml:space="preserve">Triton</t>
  </si>
  <si>
    <t xml:space="preserve">Excitation energy parameters</t>
  </si>
  <si>
    <t xml:space="preserve">Value</t>
  </si>
  <si>
    <t xml:space="preserve">Mass-energy (MeV)</t>
  </si>
  <si>
    <t xml:space="preserve">O17 mass (amu)</t>
  </si>
  <si>
    <t xml:space="preserve">Ne21 mass (amu)</t>
  </si>
  <si>
    <t xml:space="preserve">Triton mass (amu)</t>
  </si>
  <si>
    <t xml:space="preserve">Li7 mass (amu)</t>
  </si>
  <si>
    <t xml:space="preserve">Beam energy (MeV)</t>
  </si>
  <si>
    <t xml:space="preserve">Beam energy at centre of target (MeV)</t>
  </si>
  <si>
    <t xml:space="preserve">1 amu (MeV/c^2)</t>
  </si>
  <si>
    <t xml:space="preserve">Triton angle (deg from z axis)</t>
  </si>
  <si>
    <t xml:space="preserve">Triton energy (MeV)</t>
  </si>
  <si>
    <t xml:space="preserve">Excitation energy of 21Ne (keV)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</si>
</sst>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BF00"/>
        <bgColor rgb="FFFF9900"/>
      </patternFill>
    </fill>
    <fill>
      <patternFill patternType="solid">
        <fgColor rgb="FF800080"/>
        <bgColor rgb="FF800080"/>
      </patternFill>
    </fill>
    <fill>
      <patternFill patternType="solid">
        <fgColor rgb="FFEC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399600</xdr:colOff>
      <xdr:row>30</xdr:row>
      <xdr:rowOff>142560</xdr:rowOff>
    </xdr:from>
    <xdr:to>
      <xdr:col>25</xdr:col>
      <xdr:colOff>449280</xdr:colOff>
      <xdr:row>37</xdr:row>
      <xdr:rowOff>55440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6021800" y="5586480"/>
          <a:ext cx="5045400" cy="1050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802800</xdr:colOff>
      <xdr:row>27</xdr:row>
      <xdr:rowOff>38880</xdr:rowOff>
    </xdr:from>
    <xdr:to>
      <xdr:col>23</xdr:col>
      <xdr:colOff>931320</xdr:colOff>
      <xdr:row>30</xdr:row>
      <xdr:rowOff>28800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8050760" y="4995000"/>
          <a:ext cx="1753920" cy="47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544680</xdr:colOff>
      <xdr:row>27</xdr:row>
      <xdr:rowOff>49680</xdr:rowOff>
    </xdr:from>
    <xdr:to>
      <xdr:col>29</xdr:col>
      <xdr:colOff>783360</xdr:colOff>
      <xdr:row>40</xdr:row>
      <xdr:rowOff>52560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21162600" y="5005800"/>
          <a:ext cx="3489840" cy="2116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XFD19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57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12.38"/>
    <col collapsed="false" customWidth="false" hidden="false" outlineLevel="0" max="4" min="4" style="1" width="11.53"/>
    <col collapsed="false" customWidth="true" hidden="false" outlineLevel="0" max="5" min="5" style="1" width="12.38"/>
    <col collapsed="false" customWidth="false" hidden="false" outlineLevel="0" max="6" min="6" style="2" width="11.53"/>
    <col collapsed="false" customWidth="true" hidden="false" outlineLevel="0" max="7" min="7" style="1" width="12.38"/>
    <col collapsed="false" customWidth="false" hidden="false" outlineLevel="0" max="8" min="8" style="2" width="11.53"/>
    <col collapsed="false" customWidth="false" hidden="false" outlineLevel="0" max="9" min="9" style="1" width="11.53"/>
    <col collapsed="false" customWidth="false" hidden="false" outlineLevel="0" max="10" min="10" style="2" width="11.53"/>
    <col collapsed="false" customWidth="false" hidden="false" outlineLevel="0" max="23" min="11" style="1" width="11.53"/>
    <col collapsed="false" customWidth="true" hidden="false" outlineLevel="0" max="24" min="24" style="1" width="13.22"/>
    <col collapsed="false" customWidth="false" hidden="false" outlineLevel="0" max="16382" min="25" style="1" width="11.53"/>
  </cols>
  <sheetData>
    <row r="1" customFormat="false" ht="57.45" hidden="false" customHeight="false" outlineLevel="0" collapsed="false"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10</v>
      </c>
      <c r="O1" s="4" t="s">
        <v>12</v>
      </c>
      <c r="P1" s="4" t="s">
        <v>10</v>
      </c>
      <c r="Q1" s="4" t="s">
        <v>13</v>
      </c>
      <c r="R1" s="4" t="s">
        <v>14</v>
      </c>
      <c r="W1" s="4" t="s">
        <v>15</v>
      </c>
      <c r="X1" s="4" t="s">
        <v>16</v>
      </c>
      <c r="Y1" s="4" t="s">
        <v>3</v>
      </c>
      <c r="Z1" s="4" t="s">
        <v>17</v>
      </c>
      <c r="AA1" s="4" t="s">
        <v>7</v>
      </c>
      <c r="AB1" s="4" t="s">
        <v>17</v>
      </c>
      <c r="AC1" s="4" t="s">
        <v>5</v>
      </c>
    </row>
    <row r="2" customFormat="false" ht="12.8" hidden="false" customHeight="false" outlineLevel="0" collapsed="false">
      <c r="B2" s="5" t="n">
        <v>0</v>
      </c>
      <c r="C2" s="6" t="s">
        <v>18</v>
      </c>
      <c r="D2" s="6" t="n">
        <v>0.782634</v>
      </c>
      <c r="E2" s="6" t="n">
        <f aca="false">D2*$E$107</f>
        <v>58.0741037556</v>
      </c>
      <c r="F2" s="7" t="n">
        <f aca="false">AVERAGE(E2:E4)</f>
        <v>53.8741171122</v>
      </c>
      <c r="G2" s="6" t="n">
        <f aca="false">D2*$E$109</f>
        <v>23.1821669238</v>
      </c>
      <c r="H2" s="7" t="n">
        <f aca="false">AVERAGE(G2:G4)</f>
        <v>21.5056056831</v>
      </c>
      <c r="I2" s="6" t="n">
        <f aca="false">D2*$E$108</f>
        <v>34.8045948774</v>
      </c>
      <c r="J2" s="7" t="n">
        <f aca="false">AVERAGE(I2:I4)</f>
        <v>32.2874861463</v>
      </c>
      <c r="K2" s="8" t="n">
        <f aca="false">AVERAGE(D2,D5,D8,D11,D14,D17,D20,D23,D26,D29,D32,D35,D38,D41,D44,D47,D50,D56,D62,D65,D68,D71,D74,D77,D80,D83,D86,D89,D92,D95)</f>
        <v>0.8130742</v>
      </c>
      <c r="L2" s="8" t="n">
        <f aca="false">_xlfn.STDEV.P(D2,D5,D8,D11,D14,D17,D20,D23,D26,D29,D32,D35,D38,D41,D44,D47,D50,D56,D62,D65,D68,D71,D74,D77,D80,D83,D86,D89,D92,D95)</f>
        <v>0.0470006173366549</v>
      </c>
      <c r="M2" s="8" t="n">
        <f aca="false">AVERAGE(D3,D6,D9,D12,D15,D18,D21,D24,D27,D30,D33,D36,D39,D42,D45,D48,D51,D57,D63,D66,D69,D72,D75,D78,D81,D84,D87,D90,D93,D96)</f>
        <v>0.669746733333333</v>
      </c>
      <c r="N2" s="8" t="n">
        <f aca="false">STDEV(D3,D6,D9,D12,D15,D18,D21,D24,D27,D30,D33,D36,D39,D42,D45,D48,D51,D57,D63,D66,D69,D72,D75,D78,D81,D84,D87,D90,D93,D96)</f>
        <v>0.0858665052090918</v>
      </c>
      <c r="O2" s="8" t="n">
        <f aca="false">AVERAGE(D4,D7,D10,D13,D16,D19,D22,D25,D28,D31,D34,D37,D40,D43,D46,D49,D52,D58,D64,D67,D70,D73,D76,D79,D82,D85,D88,D91,D94,D97)</f>
        <v>0.8185321</v>
      </c>
      <c r="P2" s="8" t="n">
        <f aca="false">_xlfn.STDEV.P(D4,D7,D10,D13,D16,D19,D22,D25,D28,D31,D34,D37,D40,D43,D46,D49,D52,D58,D64,D67,D70,D73,D76,D79,D82,D85,D88,D91,D94,D97)</f>
        <v>0.0523426907309575</v>
      </c>
      <c r="Q2" s="8" t="n">
        <f aca="false">(K2*L2+M2*N2+O2*P2)/(L2+N2+P2)</f>
        <v>0.748167555591052</v>
      </c>
      <c r="R2" s="8" t="n">
        <f aca="false">SQRT(L2^2+N2^2+P2^2)</f>
        <v>0.111003927947647</v>
      </c>
      <c r="W2" s="5" t="n">
        <v>0</v>
      </c>
      <c r="X2" s="8" t="n">
        <f aca="false">180-159.1</f>
        <v>20.9</v>
      </c>
      <c r="Y2" s="8" t="n">
        <f aca="false">$E$107*$Q$2/(COS(RADIANS(X2)))</f>
        <v>59.426579427265</v>
      </c>
      <c r="Z2" s="8" t="n">
        <f aca="false">(SQRT($D$114^2 + $D$117^2 + $D$116^2 + 2*$D$114*$D$117 + 2*$D$117*$C$119 - 2*($D$116 + (C123 + Y2/1000))*($D$114 + $C$119 + $D$117) + 2*COS(RADIANS(180-B123))*SQRT($C$119^2 + 2*$D$114*$C$119)*SQRT((C123+Y2/1000)^2 + 2*$D$116*(C123+Y2/1000))) - $D$115) * 1000 -D123</f>
        <v>-221.448334748853</v>
      </c>
      <c r="AA2" s="8" t="n">
        <f aca="false">$E$108*$Q$2/(COS(RADIANS(X2)))</f>
        <v>35.6151518174079</v>
      </c>
      <c r="AB2" s="8" t="n">
        <f aca="false">(SQRT($D$114^2 + $D$117^2 + $D$116^2 + 2*$D$114*$D$117 + 2*$D$117*$C$119 - 2*($D$116 + (C125 + AA2/1000))*($D$114 + $C$119 + $D$117) + 2*COS(RADIANS(180-B125))*SQRT($C$119^2 + 2*$D$114*$C$119)*SQRT((C125+AA2/1000)^2 + 2*$D$116*(C125+AA2/1000))) - $D$115) * 1000 -D125</f>
        <v>-102.561969997624</v>
      </c>
      <c r="AC2" s="8" t="n">
        <f aca="false">$E$109*$Q$2/(COS(RADIANS(X2)))</f>
        <v>23.7220515669254</v>
      </c>
    </row>
    <row r="3" customFormat="false" ht="12.8" hidden="false" customHeight="false" outlineLevel="0" collapsed="false">
      <c r="B3" s="5"/>
      <c r="C3" s="9" t="s">
        <v>19</v>
      </c>
      <c r="D3" s="9" t="n">
        <v>0.535416</v>
      </c>
      <c r="E3" s="9" t="n">
        <f aca="false">D3*$E$107</f>
        <v>39.7296876144</v>
      </c>
      <c r="F3" s="7"/>
      <c r="G3" s="9" t="n">
        <f aca="false">D3*$E$109</f>
        <v>15.8593967112</v>
      </c>
      <c r="H3" s="7"/>
      <c r="I3" s="9" t="n">
        <f aca="false">D3*$E$108</f>
        <v>23.8105384776</v>
      </c>
      <c r="J3" s="7"/>
      <c r="K3" s="8"/>
      <c r="L3" s="8"/>
      <c r="M3" s="8"/>
      <c r="N3" s="8"/>
      <c r="O3" s="8"/>
      <c r="P3" s="8"/>
      <c r="Q3" s="8"/>
      <c r="R3" s="8"/>
      <c r="T3" s="10"/>
      <c r="W3" s="5" t="n">
        <v>1</v>
      </c>
      <c r="X3" s="8" t="n">
        <f aca="false">180-157.4</f>
        <v>22.6</v>
      </c>
      <c r="Y3" s="8" t="n">
        <f aca="false">$E$107*$Q$2/(COS(RADIANS(X3)))</f>
        <v>60.134274258959</v>
      </c>
      <c r="Z3" s="8" t="n">
        <f aca="false">(SQRT($D$114^2 + $D$117^2 + $D$116^2 + 2*$D$114*$D$117 + 2*$D$117*$C$119 - 2*($D$116 + (C126 + Y3/1000))*($D$114 + $C$119 + $D$117) + 2*COS(RADIANS(180-B126))*SQRT($C$119^2 + 2*$D$114*$C$119)*SQRT((C126+Y3/1000)^2 + 2*$D$116*(C126+Y3/1000))) - $D$115) * 1000 -D126</f>
        <v>-222.232664265905</v>
      </c>
      <c r="AA3" s="8" t="n">
        <f aca="false">$E$108*$Q$2/(COS(RADIANS(X3)))</f>
        <v>36.0392828899699</v>
      </c>
      <c r="AB3" s="8" t="n">
        <f aca="false">(SQRT($D$114^2 + $D$117^2 + $D$116^2 + 2*$D$114*$D$117 + 2*$D$117*$C$119 - 2*($D$116 + (C128 + AA3/1000))*($D$114 + $C$119 + $D$117) + 2*COS(RADIANS(180-B128))*SQRT($C$119^2 + 2*$D$114*$C$119)*SQRT((C128+AA3/1000)^2 + 2*$D$116*(C128+AA3/1000))) - $D$115) * 1000 -D128</f>
        <v>-103.780837478553</v>
      </c>
      <c r="AC3" s="8" t="n">
        <f aca="false">$E$109*$Q$2/(COS(RADIANS(X3)))</f>
        <v>24.0045509712809</v>
      </c>
    </row>
    <row r="4" customFormat="false" ht="12.8" hidden="false" customHeight="false" outlineLevel="0" collapsed="false">
      <c r="B4" s="5"/>
      <c r="C4" s="11" t="s">
        <v>20</v>
      </c>
      <c r="D4" s="11" t="n">
        <v>0.860049</v>
      </c>
      <c r="E4" s="11" t="n">
        <f aca="false">D4*$E$107</f>
        <v>63.8185599666</v>
      </c>
      <c r="F4" s="7"/>
      <c r="G4" s="11" t="n">
        <f aca="false">D4*$E$109</f>
        <v>25.4752534143</v>
      </c>
      <c r="H4" s="7"/>
      <c r="I4" s="11" t="n">
        <f aca="false">D4*$E$108</f>
        <v>38.2473250839</v>
      </c>
      <c r="J4" s="7"/>
      <c r="K4" s="8"/>
      <c r="L4" s="8"/>
      <c r="M4" s="8"/>
      <c r="N4" s="8"/>
      <c r="O4" s="8"/>
      <c r="P4" s="8"/>
      <c r="Q4" s="8"/>
      <c r="R4" s="8"/>
      <c r="W4" s="5" t="n">
        <v>2</v>
      </c>
      <c r="X4" s="8" t="n">
        <f aca="false">180-155.8</f>
        <v>24.2</v>
      </c>
      <c r="Y4" s="8" t="n">
        <f aca="false">$E$107*$Q$2/(COS(RADIANS(X4)))</f>
        <v>60.8654226677088</v>
      </c>
      <c r="Z4" s="8" t="n">
        <f aca="false">(SQRT($D$114^2 + $D$117^2 + $D$116^2 + 2*$D$114*$D$117 + 2*$D$117*$C$119 - 2*($D$116 + (C129 + Y4/1000))*($D$114 + $C$119 + $D$117) + 2*COS(RADIANS(180-B129))*SQRT($C$119^2 + 2*$D$114*$C$119)*SQRT((C129+Y4/1000)^2 + 2*$D$116*(C129+Y4/1000))) - $D$115) * 1000 - D129</f>
        <v>-223.0430174277</v>
      </c>
      <c r="AA4" s="8" t="n">
        <f aca="false">$E$108*$Q$2/(COS(RADIANS(X4)))</f>
        <v>36.4774700080851</v>
      </c>
      <c r="AB4" s="8" t="n">
        <f aca="false">(SQRT($D$114^2 + $D$117^2 + $D$116^2 + 2*$D$114*$D$117 + 2*$D$117*$C$119 - 2*($D$116 + (C131 + AA4/1000))*($D$114 + $C$119 + $D$117) + 2*COS(RADIANS(180-B131))*SQRT($C$119^2 + 2*$D$114*$C$119)*SQRT((C131+AA4/1000)^2 + 2*$D$116*(C131+AA4/1000))) - $D$115) * 1000 -D131</f>
        <v>-105.040037473373</v>
      </c>
      <c r="AC4" s="8" t="n">
        <f aca="false">$E$109*$Q$2/(COS(RADIANS(X4)))</f>
        <v>24.296412633564</v>
      </c>
    </row>
    <row r="5" customFormat="false" ht="12.8" hidden="false" customHeight="false" outlineLevel="0" collapsed="false">
      <c r="B5" s="5" t="n">
        <v>1</v>
      </c>
      <c r="C5" s="6" t="s">
        <v>18</v>
      </c>
      <c r="D5" s="6" t="n">
        <v>0.775121</v>
      </c>
      <c r="E5" s="6" t="n">
        <f aca="false">D5*$E$107</f>
        <v>57.5166136114</v>
      </c>
      <c r="F5" s="7" t="n">
        <f aca="false">AVERAGE(E5:E7)</f>
        <v>54.791048526</v>
      </c>
      <c r="G5" s="6" t="n">
        <f aca="false">D5*$E$109</f>
        <v>22.9596266047</v>
      </c>
      <c r="H5" s="7" t="n">
        <f aca="false">AVERAGE(G5:G7)</f>
        <v>21.871628673</v>
      </c>
      <c r="I5" s="6" t="n">
        <f aca="false">D5*$E$108</f>
        <v>34.4704835031</v>
      </c>
      <c r="J5" s="7" t="n">
        <f aca="false">AVERAGE(I5:I7)</f>
        <v>32.837015529</v>
      </c>
      <c r="K5" s="8"/>
      <c r="L5" s="8"/>
      <c r="M5" s="8"/>
      <c r="N5" s="8"/>
      <c r="O5" s="8"/>
      <c r="P5" s="8"/>
      <c r="Q5" s="8"/>
      <c r="R5" s="8"/>
      <c r="W5" s="5" t="n">
        <v>3</v>
      </c>
      <c r="X5" s="8" t="n">
        <f aca="false">180-154.2</f>
        <v>25.8</v>
      </c>
      <c r="Y5" s="8" t="n">
        <f aca="false">$E$107*$Q$2/(COS(RADIANS(X5)))</f>
        <v>61.663244350755</v>
      </c>
      <c r="Z5" s="8" t="n">
        <f aca="false">(SQRT($D$114^2 + $D$117^2 + $D$116^2 + 2*$D$114*$D$117 + 2*$D$117*$C$119 - 2*($D$116 + (C132 + Y5/1000))*($D$114 + $C$119 + $D$117) + 2*COS(RADIANS(180-B132))*SQRT($C$119^2 + 2*$D$114*$C$119)*SQRT((C132+Y5/1000)^2 + 2*$D$116*(C132+Y5/1000))) - $D$115) * 1000 - D132</f>
        <v>-223.927301161892</v>
      </c>
      <c r="AA5" s="8" t="n">
        <f aca="false">$E$108*$Q$2/(COS(RADIANS(X5)))</f>
        <v>36.9556153201452</v>
      </c>
      <c r="AB5" s="8" t="n">
        <f aca="false">(SQRT($D$114^2 + $D$117^2 + $D$116^2 + 2*$D$114*$D$117 + 2*$D$117*$C$119 - 2*($D$116 + (C134 + AA5/1000))*($D$114 + $C$119 + $D$117) + 2*COS(RADIANS(180-B134))*SQRT($C$119^2 + 2*$D$114*$C$119)*SQRT((C134+AA5/1000)^2 + 2*$D$116*(C134+AA5/1000))) - $D$115) * 1000 -D134</f>
        <v>-106.413992089074</v>
      </c>
      <c r="AC5" s="8" t="n">
        <f aca="false">$E$109*$Q$2/(COS(RADIANS(X5)))</f>
        <v>24.6148891013136</v>
      </c>
    </row>
    <row r="6" customFormat="false" ht="12.8" hidden="false" customHeight="false" outlineLevel="0" collapsed="false">
      <c r="B6" s="5"/>
      <c r="C6" s="9" t="s">
        <v>19</v>
      </c>
      <c r="D6" s="9" t="n">
        <v>0.596706</v>
      </c>
      <c r="E6" s="9" t="n">
        <f aca="false">D6*$E$107</f>
        <v>44.2776140004</v>
      </c>
      <c r="F6" s="7"/>
      <c r="G6" s="9" t="n">
        <f aca="false">D6*$E$109</f>
        <v>17.6748494142</v>
      </c>
      <c r="H6" s="7"/>
      <c r="I6" s="9" t="n">
        <f aca="false">D6*$E$108</f>
        <v>26.5361721966</v>
      </c>
      <c r="J6" s="7"/>
      <c r="K6" s="8"/>
      <c r="L6" s="8"/>
      <c r="M6" s="8"/>
      <c r="N6" s="8"/>
      <c r="O6" s="8"/>
      <c r="P6" s="8"/>
      <c r="Q6" s="8"/>
      <c r="R6" s="8"/>
      <c r="W6" s="5" t="n">
        <v>4</v>
      </c>
      <c r="X6" s="8" t="n">
        <f aca="false">180-152.7</f>
        <v>27.3</v>
      </c>
      <c r="Y6" s="8" t="n">
        <f aca="false">$E$107*$Q$2/(COS(RADIANS(X6)))</f>
        <v>62.4752417063492</v>
      </c>
      <c r="Z6" s="8" t="n">
        <f aca="false">(SQRT($D$114^2 + $D$117^2 + $D$116^2 + 2*$D$114*$D$117 + 2*$D$117*$C$119 - 2*($D$116 + (C135 + Y6/1000))*($D$114 + $C$119 + $D$117) + 2*COS(RADIANS(180-B135))*SQRT($C$119^2 + 2*$D$114*$C$119)*SQRT((C135+Y6/1000)^2 + 2*$D$116*(C135+Y6/1000))) - $D$115) * 1000 - D135</f>
        <v>-224.827333368011</v>
      </c>
      <c r="AA6" s="8" t="n">
        <f aca="false">$E$108*$Q$2/(COS(RADIANS(X6)))</f>
        <v>37.4422563042559</v>
      </c>
      <c r="AB6" s="8" t="n">
        <f aca="false">(SQRT($D$114^2 + $D$117^2 + $D$116^2 + 2*$D$114*$D$117 + 2*$D$117*$C$119 - 2*($D$116 + (C137 + AA6/1000))*($D$114 + $C$119 + $D$117) + 2*COS(RADIANS(180-B137))*SQRT($C$119^2 + 2*$D$114*$C$119)*SQRT((C137+AA6/1000)^2 + 2*$D$116*(C137+AA6/1000))) - $D$115) * 1000 -D137</f>
        <v>-107.812282421947</v>
      </c>
      <c r="AC6" s="8" t="n">
        <f aca="false">$E$109*$Q$2/(COS(RADIANS(X6)))</f>
        <v>24.9390242497144</v>
      </c>
    </row>
    <row r="7" customFormat="false" ht="12.8" hidden="false" customHeight="false" outlineLevel="0" collapsed="false">
      <c r="B7" s="5"/>
      <c r="C7" s="11" t="s">
        <v>20</v>
      </c>
      <c r="D7" s="11" t="n">
        <v>0.843343</v>
      </c>
      <c r="E7" s="11" t="n">
        <f aca="false">D7*$E$107</f>
        <v>62.5789179662</v>
      </c>
      <c r="F7" s="7"/>
      <c r="G7" s="11" t="n">
        <f aca="false">D7*$E$109</f>
        <v>24.9804100001</v>
      </c>
      <c r="H7" s="7"/>
      <c r="I7" s="11" t="n">
        <f aca="false">D7*$E$108</f>
        <v>37.5043908873</v>
      </c>
      <c r="J7" s="7"/>
      <c r="K7" s="8"/>
      <c r="L7" s="8"/>
      <c r="M7" s="8"/>
      <c r="N7" s="8"/>
      <c r="O7" s="8"/>
      <c r="P7" s="8"/>
      <c r="Q7" s="8"/>
      <c r="R7" s="8"/>
      <c r="W7" s="5" t="n">
        <v>5</v>
      </c>
      <c r="X7" s="8" t="n">
        <f aca="false">180-151.2</f>
        <v>28.8</v>
      </c>
      <c r="Y7" s="8" t="n">
        <f aca="false">$E$107*$Q$2/(COS(RADIANS(X7)))</f>
        <v>63.3529079017932</v>
      </c>
      <c r="Z7" s="8" t="n">
        <f aca="false">(SQRT($D$114^2 + $D$117^2 + $D$116^2 + 2*$D$114*$D$117 + 2*$D$117*$C$119 - 2*($D$116 + (C138 + Y7/1000))*($D$114 + $C$119 + $D$117) + 2*COS(RADIANS(180-B138))*SQRT($C$119^2 + 2*$D$114*$C$119)*SQRT((C138+Y7/1000)^2 + 2*$D$116*(C138+Y7/1000))) - $D$115) * 1000 - D138</f>
        <v>-225.800194883053</v>
      </c>
      <c r="AA7" s="8" t="n">
        <f aca="false">$E$108*$Q$2/(COS(RADIANS(X7)))</f>
        <v>37.9682535111792</v>
      </c>
      <c r="AB7" s="8" t="n">
        <f aca="false">(SQRT($D$114^2 + $D$117^2 + $D$116^2 + 2*$D$114*$D$117 + 2*$D$117*$C$119 - 2*($D$116 + (C140 + AA7/1000))*($D$114 + $C$119 + $D$117) + 2*COS(RADIANS(180-B140))*SQRT($C$119^2 + 2*$D$114*$C$119)*SQRT((C140+AA7/1000)^2 + 2*$D$116*(C140+AA7/1000))) - $D$115) * 1000 -D140</f>
        <v>-109.323570035486</v>
      </c>
      <c r="AC7" s="8" t="n">
        <f aca="false">$E$109*$Q$2/(COS(RADIANS(X7)))</f>
        <v>25.2893732509109</v>
      </c>
    </row>
    <row r="8" customFormat="false" ht="12.8" hidden="false" customHeight="false" outlineLevel="0" collapsed="false">
      <c r="B8" s="5" t="n">
        <v>2</v>
      </c>
      <c r="C8" s="6" t="s">
        <v>18</v>
      </c>
      <c r="D8" s="6" t="n">
        <v>0.78045</v>
      </c>
      <c r="E8" s="6" t="n">
        <f aca="false">D8*$E$107</f>
        <v>57.91204353</v>
      </c>
      <c r="F8" s="7" t="n">
        <f aca="false">AVERAGE(E8:E10)</f>
        <v>52.922235897</v>
      </c>
      <c r="G8" s="6" t="n">
        <f aca="false">D8*$E$109</f>
        <v>23.117475315</v>
      </c>
      <c r="H8" s="7" t="n">
        <f aca="false">AVERAGE(G8:G10)</f>
        <v>21.1256313435</v>
      </c>
      <c r="I8" s="6" t="n">
        <f aca="false">D8*$E$108</f>
        <v>34.707469995</v>
      </c>
      <c r="J8" s="7" t="n">
        <f aca="false">AVERAGE(I8:I10)</f>
        <v>31.7170108755</v>
      </c>
      <c r="K8" s="8"/>
      <c r="L8" s="8"/>
      <c r="M8" s="8"/>
      <c r="N8" s="8"/>
      <c r="O8" s="8"/>
      <c r="P8" s="8"/>
      <c r="Q8" s="8"/>
      <c r="R8" s="8"/>
      <c r="W8" s="5" t="n">
        <v>6</v>
      </c>
      <c r="X8" s="8" t="n">
        <f aca="false">180-149.8</f>
        <v>30.2</v>
      </c>
      <c r="Y8" s="8" t="n">
        <f aca="false">$E$107*$Q$2/(COS(RADIANS(X8)))</f>
        <v>64.2348663515922</v>
      </c>
      <c r="Z8" s="8" t="n">
        <f aca="false">(SQRT($D$114^2 + $D$117^2 + $D$116^2 + 2*$D$114*$D$117 + 2*$D$117*$C$119 - 2*($D$116 + (C141 + Y8/1000))*($D$114 + $C$119 + $D$117) + 2*COS(RADIANS(180-B141))*SQRT($C$119^2 + 2*$D$114*$C$119)*SQRT((C141+Y8/1000)^2 + 2*$D$116*(C141+Y8/1000))) - $D$115) * 1000 - D141</f>
        <v>-226.777856241826</v>
      </c>
      <c r="AA8" s="8" t="n">
        <f aca="false">$E$108*$Q$2/(COS(RADIANS(X8)))</f>
        <v>38.4968231241195</v>
      </c>
      <c r="AB8" s="8" t="n">
        <f aca="false">(SQRT($D$114^2 + $D$117^2 + $D$116^2 + 2*$D$114*$D$117 + 2*$D$117*$C$119 - 2*($D$116 + (C143 + AA8/1000))*($D$114 + $C$119 + $D$117) + 2*COS(RADIANS(180-B143))*SQRT($C$119^2 + 2*$D$114*$C$119)*SQRT((C143+AA8/1000)^2 + 2*$D$116*(C143+AA8/1000))) - $D$115) * 1000 -D143</f>
        <v>-110.842157675507</v>
      </c>
      <c r="AC8" s="8" t="n">
        <f aca="false">$E$109*$Q$2/(COS(RADIANS(X8)))</f>
        <v>25.6414356450056</v>
      </c>
    </row>
    <row r="9" customFormat="false" ht="12.8" hidden="false" customHeight="false" outlineLevel="0" collapsed="false">
      <c r="B9" s="5"/>
      <c r="C9" s="9" t="s">
        <v>19</v>
      </c>
      <c r="D9" s="9" t="n">
        <v>0.61446</v>
      </c>
      <c r="E9" s="9" t="n">
        <f aca="false">D9*$E$107</f>
        <v>45.595021164</v>
      </c>
      <c r="F9" s="7"/>
      <c r="G9" s="9" t="n">
        <f aca="false">D9*$E$109</f>
        <v>18.200735322</v>
      </c>
      <c r="H9" s="7"/>
      <c r="I9" s="9" t="n">
        <f aca="false">D9*$E$108</f>
        <v>27.325712106</v>
      </c>
      <c r="J9" s="7"/>
      <c r="K9" s="8"/>
      <c r="L9" s="8"/>
      <c r="M9" s="8"/>
      <c r="N9" s="8"/>
      <c r="O9" s="8"/>
      <c r="P9" s="8"/>
      <c r="Q9" s="8"/>
      <c r="R9" s="8"/>
      <c r="W9" s="5" t="n">
        <v>7</v>
      </c>
      <c r="X9" s="8" t="n">
        <f aca="false">180-148.4</f>
        <v>31.6</v>
      </c>
      <c r="Y9" s="8" t="n">
        <f aca="false">$E$107*$Q$2/(COS(RADIANS(X9)))</f>
        <v>65.1811914934946</v>
      </c>
      <c r="Z9" s="8" t="n">
        <f aca="false">(SQRT($D$114^2 + $D$117^2 + $D$116^2 + 2*$D$114*$D$117 + 2*$D$117*$C$119 - 2*($D$116 + (C144 + Y9/1000))*($D$114 + $C$119 + $D$117) + 2*COS(RADIANS(180-B144))*SQRT($C$119^2 + 2*$D$114*$C$119)*SQRT((C144+Y9/1000)^2 + 2*$D$116*(C144+Y9/1000))) - $D$115) * 1000 - D144</f>
        <v>-227.82691495013</v>
      </c>
      <c r="AA9" s="8" t="n">
        <f aca="false">$E$108*$Q$2/(COS(RADIANS(X9)))</f>
        <v>39.0639685651378</v>
      </c>
      <c r="AB9" s="8" t="n">
        <f aca="false">(SQRT($D$114^2 + $D$117^2 + $D$116^2 + 2*$D$114*$D$117 + 2*$D$117*$C$119 - 2*($D$116 + (C146 + AA9/1000))*($D$114 + $C$119 + $D$117) + 2*COS(RADIANS(180-B146))*SQRT($C$119^2 + 2*$D$114*$C$119)*SQRT((C146+AA9/1000)^2 + 2*$D$116*(C146+AA9/1000))) - $D$115) * 1000 -D146</f>
        <v>-112.471472799371</v>
      </c>
      <c r="AC9" s="8" t="n">
        <f aca="false">$E$109*$Q$2/(COS(RADIANS(X9)))</f>
        <v>26.0191920972807</v>
      </c>
    </row>
    <row r="10" customFormat="false" ht="12.8" hidden="false" customHeight="false" outlineLevel="0" collapsed="false">
      <c r="B10" s="5"/>
      <c r="C10" s="11" t="s">
        <v>20</v>
      </c>
      <c r="D10" s="11" t="n">
        <v>0.744705</v>
      </c>
      <c r="E10" s="11" t="n">
        <f aca="false">D10*$E$107</f>
        <v>55.259642997</v>
      </c>
      <c r="F10" s="7"/>
      <c r="G10" s="11" t="n">
        <f aca="false">D10*$E$109</f>
        <v>22.0586833935</v>
      </c>
      <c r="H10" s="7"/>
      <c r="I10" s="11" t="n">
        <f aca="false">D10*$E$108</f>
        <v>33.1178505255</v>
      </c>
      <c r="J10" s="7"/>
      <c r="K10" s="8"/>
      <c r="L10" s="8"/>
      <c r="M10" s="8"/>
      <c r="N10" s="8"/>
      <c r="O10" s="8"/>
      <c r="P10" s="8"/>
      <c r="Q10" s="8"/>
      <c r="R10" s="8"/>
      <c r="W10" s="5" t="n">
        <v>8</v>
      </c>
      <c r="X10" s="8" t="n">
        <f aca="false">180-147</f>
        <v>33</v>
      </c>
      <c r="Y10" s="8" t="n">
        <f aca="false">$E$107*$Q$2/(COS(RADIANS(X10)))</f>
        <v>66.1959278367781</v>
      </c>
      <c r="Z10" s="8" t="n">
        <f aca="false">(SQRT($D$114^2 + $D$117^2 + $D$116^2 + 2*$D$114*$D$117 + 2*$D$117*$C$119 - 2*($D$116 + (C147 + Y10/1000))*($D$114 + $C$119 + $D$117) + 2*COS(RADIANS(180-B147))*SQRT($C$119^2 + 2*$D$114*$C$119)*SQRT((C147+Y10/1000)^2 + 2*$D$116*(C147+Y10/1000))) - $D$115) * 1000 - D147</f>
        <v>-228.951863799013</v>
      </c>
      <c r="AA10" s="8" t="n">
        <f aca="false">$E$108*$Q$2/(COS(RADIANS(X10)))</f>
        <v>39.6721137632797</v>
      </c>
      <c r="AB10" s="8" t="n">
        <f aca="false">(SQRT($D$114^2 + $D$117^2 + $D$116^2 + 2*$D$114*$D$117 + 2*$D$117*$C$119 - 2*($D$116 + (C149 + AA10/1000))*($D$114 + $C$119 + $D$117) + 2*COS(RADIANS(180-B149))*SQRT($C$119^2 + 2*$D$114*$C$119)*SQRT((C149+AA10/1000)^2 + 2*$D$116*(C149+AA10/1000))) - $D$115) * 1000 -D149</f>
        <v>-114.218456870731</v>
      </c>
      <c r="AC10" s="8" t="n">
        <f aca="false">$E$109*$Q$2/(COS(RADIANS(X10)))</f>
        <v>26.4242571051307</v>
      </c>
    </row>
    <row r="11" customFormat="false" ht="12.8" hidden="false" customHeight="false" outlineLevel="0" collapsed="false">
      <c r="B11" s="5" t="n">
        <v>3</v>
      </c>
      <c r="C11" s="6" t="s">
        <v>18</v>
      </c>
      <c r="D11" s="6" t="n">
        <v>0.782457</v>
      </c>
      <c r="E11" s="6" t="n">
        <f aca="false">D11*$E$107</f>
        <v>58.0609697538</v>
      </c>
      <c r="F11" s="7" t="n">
        <f aca="false">AVERAGE(E11:E13)</f>
        <v>53.6323377005333</v>
      </c>
      <c r="G11" s="6" t="n">
        <f aca="false">D11*$E$109</f>
        <v>23.1769240599</v>
      </c>
      <c r="H11" s="7" t="n">
        <f aca="false">AVERAGE(G11:G13)</f>
        <v>21.4090915689333</v>
      </c>
      <c r="I11" s="6" t="n">
        <f aca="false">D11*$E$108</f>
        <v>34.7967234927</v>
      </c>
      <c r="J11" s="7" t="n">
        <f aca="false">AVERAGE(I11:I13)</f>
        <v>32.1425844788</v>
      </c>
      <c r="K11" s="8"/>
      <c r="L11" s="8"/>
      <c r="M11" s="8"/>
      <c r="N11" s="8"/>
      <c r="O11" s="8"/>
      <c r="P11" s="8"/>
      <c r="Q11" s="8"/>
      <c r="R11" s="8"/>
      <c r="W11" s="5" t="n">
        <v>9</v>
      </c>
      <c r="X11" s="8" t="n">
        <f aca="false">180-145.7</f>
        <v>34.3</v>
      </c>
      <c r="Y11" s="8" t="n">
        <f aca="false">$E$107*$Q$2/(COS(RADIANS(X11)))</f>
        <v>67.2033543277455</v>
      </c>
      <c r="Z11" s="8" t="n">
        <f aca="false">(SQRT($D$114^2 + $D$117^2 + $D$116^2 + 2*$D$114*$D$117 + 2*$D$117*$C$119 - 2*($D$116 + (C150 + Y11/1000))*($D$114 + $C$119 + $D$117) + 2*COS(RADIANS(180-B150))*SQRT($C$119^2 + 2*$D$114*$C$119)*SQRT((C150+Y11/1000)^2 + 2*$D$116*(C150+Y11/1000))) - $D$115) * 1000 - D150</f>
        <v>-230.068761415167</v>
      </c>
      <c r="AA11" s="8" t="n">
        <f aca="false">$E$108*$Q$2/(COS(RADIANS(X11)))</f>
        <v>40.2758780681829</v>
      </c>
      <c r="AB11" s="8" t="n">
        <f aca="false">(SQRT($D$114^2 + $D$117^2 + $D$116^2 + 2*$D$114*$D$117 + 2*$D$117*$C$119 - 2*($D$116 + (C152 + AA11/1000))*($D$114 + $C$119 + $D$117) + 2*COS(RADIANS(180-B152))*SQRT($C$119^2 + 2*$D$114*$C$119)*SQRT((C152+AA11/1000)^2 + 2*$D$116*(C152+AA11/1000))) - $D$115) * 1000 -D152</f>
        <v>-115.952736894542</v>
      </c>
      <c r="AC11" s="8" t="n">
        <f aca="false">$E$109*$Q$2/(COS(RADIANS(X11)))</f>
        <v>26.8264041477324</v>
      </c>
    </row>
    <row r="12" customFormat="false" ht="12.8" hidden="false" customHeight="false" outlineLevel="0" collapsed="false">
      <c r="B12" s="5"/>
      <c r="C12" s="9" t="s">
        <v>19</v>
      </c>
      <c r="D12" s="9" t="n">
        <v>0.564711</v>
      </c>
      <c r="E12" s="9" t="n">
        <f aca="false">D12*$E$107</f>
        <v>41.9034762174</v>
      </c>
      <c r="F12" s="7"/>
      <c r="G12" s="9" t="n">
        <f aca="false">D12*$E$109</f>
        <v>16.7271351177</v>
      </c>
      <c r="H12" s="7"/>
      <c r="I12" s="9" t="n">
        <f aca="false">D12*$E$108</f>
        <v>25.1133193521</v>
      </c>
      <c r="J12" s="7"/>
      <c r="K12" s="8"/>
      <c r="L12" s="8"/>
      <c r="M12" s="8"/>
      <c r="N12" s="8"/>
      <c r="O12" s="8"/>
      <c r="P12" s="8"/>
      <c r="Q12" s="8"/>
      <c r="R12" s="8"/>
      <c r="W12" s="5" t="n">
        <v>10</v>
      </c>
      <c r="X12" s="8" t="n">
        <f aca="false">180-144.4</f>
        <v>35.6</v>
      </c>
      <c r="Y12" s="8" t="n">
        <f aca="false">$E$107*$Q$2/(COS(RADIANS(X12)))</f>
        <v>68.2776096815559</v>
      </c>
      <c r="Z12" s="8" t="n">
        <f aca="false">(SQRT($D$114^2 + $D$117^2 + $D$116^2 + 2*$D$114*$D$117 + 2*$D$117*$C$119 - 2*($D$116 + (C153 + Y12/1000))*($D$114 + $C$119 + $D$117) + 2*COS(RADIANS(180-B153))*SQRT($C$119^2 + 2*$D$114*$C$119)*SQRT((C153+Y12/1000)^2 + 2*$D$116*(C153+Y12/1000))) - $D$115) * 1000 - D153</f>
        <v>-231.259806543672</v>
      </c>
      <c r="AA12" s="8" t="n">
        <f aca="false">$E$108*$Q$2/(COS(RADIANS(X12)))</f>
        <v>40.9196938133487</v>
      </c>
      <c r="AB12" s="8" t="n">
        <f aca="false">(SQRT($D$114^2 + $D$117^2 + $D$116^2 + 2*$D$114*$D$117 + 2*$D$117*$C$119 - 2*($D$116 + (C155 + AA12/1000))*($D$114 + $C$119 + $D$117) + 2*COS(RADIANS(180-B155))*SQRT($C$119^2 + 2*$D$114*$C$119)*SQRT((C155+AA12/1000)^2 + 2*$D$116*(C155+AA12/1000))) - $D$115) * 1000 -D155</f>
        <v>-117.80193157756</v>
      </c>
      <c r="AC12" s="8" t="n">
        <f aca="false">$E$109*$Q$2/(COS(RADIANS(X12)))</f>
        <v>27.2552281040284</v>
      </c>
    </row>
    <row r="13" customFormat="false" ht="12.8" hidden="false" customHeight="false" outlineLevel="0" collapsed="false">
      <c r="B13" s="5"/>
      <c r="C13" s="11" t="s">
        <v>20</v>
      </c>
      <c r="D13" s="11" t="n">
        <v>0.821156</v>
      </c>
      <c r="E13" s="11" t="n">
        <f aca="false">D13*$E$107</f>
        <v>60.9325671304</v>
      </c>
      <c r="F13" s="7"/>
      <c r="G13" s="11" t="n">
        <f aca="false">D13*$E$109</f>
        <v>24.3232155292</v>
      </c>
      <c r="H13" s="7"/>
      <c r="I13" s="11" t="n">
        <f aca="false">D13*$E$108</f>
        <v>36.5177105916</v>
      </c>
      <c r="J13" s="7"/>
      <c r="K13" s="8"/>
      <c r="L13" s="8"/>
      <c r="M13" s="8"/>
      <c r="N13" s="8"/>
      <c r="O13" s="8"/>
      <c r="P13" s="8"/>
      <c r="Q13" s="8"/>
      <c r="R13" s="8"/>
      <c r="W13" s="5" t="n">
        <v>11</v>
      </c>
      <c r="X13" s="8" t="n">
        <f aca="false">180-143.1</f>
        <v>36.9</v>
      </c>
      <c r="Y13" s="8" t="n">
        <f aca="false">$E$107*$Q$2/(COS(RADIANS(X13)))</f>
        <v>69.4230854691847</v>
      </c>
      <c r="Z13" s="8" t="n">
        <f aca="false">(SQRT($D$114^2 + $D$117^2 + $D$116^2 + 2*$D$114*$D$117 + 2*$D$117*$C$119 - 2*($D$116 + (C156 + Y13/1000))*($D$114 + $C$119 + $D$117) + 2*COS(RADIANS(180-B156))*SQRT($C$119^2 + 2*$D$114*$C$119)*SQRT((C156+Y13/1000)^2 + 2*$D$116*(C156+Y13/1000))) - $D$115) * 1000 - D156</f>
        <v>-232.529878467173</v>
      </c>
      <c r="AA13" s="8" t="n">
        <f aca="false">$E$108*$Q$2/(COS(RADIANS(X13)))</f>
        <v>41.6061929265864</v>
      </c>
      <c r="AB13" s="8" t="n">
        <f aca="false">(SQRT($D$114^2 + $D$117^2 + $D$116^2 + 2*$D$114*$D$117 + 2*$D$117*$C$119 - 2*($D$116 + (C158 + AA13/1000))*($D$114 + $C$119 + $D$117) + 2*COS(RADIANS(180-B158))*SQRT($C$119^2 + 2*$D$114*$C$119)*SQRT((C158+AA13/1000)^2 + 2*$D$116*(C158+AA13/1000))) - $D$115) * 1000 -D158</f>
        <v>-119.773574424471</v>
      </c>
      <c r="AC13" s="8" t="n">
        <f aca="false">$E$109*$Q$2/(COS(RADIANS(X13)))</f>
        <v>27.7124820123751</v>
      </c>
    </row>
    <row r="14" customFormat="false" ht="12.8" hidden="false" customHeight="false" outlineLevel="0" collapsed="false">
      <c r="B14" s="5" t="n">
        <v>4</v>
      </c>
      <c r="C14" s="6" t="s">
        <v>18</v>
      </c>
      <c r="D14" s="6" t="n">
        <v>0.807116</v>
      </c>
      <c r="E14" s="6" t="n">
        <f aca="false">D14*$E$107</f>
        <v>59.8907513944</v>
      </c>
      <c r="F14" s="7" t="n">
        <f aca="false">AVERAGE(E14:E16)</f>
        <v>57.0590259780667</v>
      </c>
      <c r="G14" s="6" t="n">
        <f aca="false">D14*$E$109</f>
        <v>23.9073409012</v>
      </c>
      <c r="H14" s="7" t="n">
        <f aca="false">AVERAGE(G14:G16)</f>
        <v>22.7769656213667</v>
      </c>
      <c r="I14" s="6" t="n">
        <f aca="false">D14*$E$108</f>
        <v>35.8933363476</v>
      </c>
      <c r="J14" s="7" t="n">
        <f aca="false">AVERAGE(I14:I16)</f>
        <v>34.1962450531</v>
      </c>
      <c r="K14" s="8"/>
      <c r="L14" s="8"/>
      <c r="M14" s="8"/>
      <c r="N14" s="8"/>
      <c r="O14" s="8"/>
      <c r="P14" s="8"/>
      <c r="Q14" s="8"/>
      <c r="R14" s="8"/>
      <c r="W14" s="5" t="n">
        <v>12</v>
      </c>
      <c r="X14" s="8" t="n">
        <f aca="false">180-141.9</f>
        <v>38.1</v>
      </c>
      <c r="Y14" s="8" t="n">
        <f aca="false">$E$107*$Q$2/(COS(RADIANS(X14)))</f>
        <v>70.5478531838333</v>
      </c>
      <c r="Z14" s="8" t="n">
        <f aca="false">(SQRT($D$114^2 + $D$117^2 + $D$116^2 + 2*$D$114*$D$117 + 2*$D$117*$C$119 - 2*($D$116 + (C159 + Y14/1000))*($D$114 + $C$119 + $D$117) + 2*COS(RADIANS(180-B159))*SQRT($C$119^2 + 2*$D$114*$C$119)*SQRT((C159+Y14/1000)^2 + 2*$D$116*(C159+Y14/1000))) - $D$115) * 1000 - D159</f>
        <v>-233.777052573717</v>
      </c>
      <c r="AA14" s="8" t="n">
        <f aca="false">$E$108*$Q$2/(COS(RADIANS(X14)))</f>
        <v>42.280281411951</v>
      </c>
      <c r="AB14" s="8" t="n">
        <f aca="false">(SQRT($D$114^2 + $D$117^2 + $D$116^2 + 2*$D$114*$D$117 + 2*$D$117*$C$119 - 2*($D$116 + (C161 + AA14/1000))*($D$114 + $C$119 + $D$117) + 2*COS(RADIANS(180-B161))*SQRT($C$119^2 + 2*$D$114*$C$119)*SQRT((C161+AA14/1000)^2 + 2*$D$116*(C161+AA14/1000))) - $D$115) * 1000 -D161</f>
        <v>-121.709424256551</v>
      </c>
      <c r="AC14" s="8" t="n">
        <f aca="false">$E$109*$Q$2/(COS(RADIANS(X14)))</f>
        <v>28.1614696200224</v>
      </c>
    </row>
    <row r="15" customFormat="false" ht="12.8" hidden="false" customHeight="false" outlineLevel="0" collapsed="false">
      <c r="B15" s="5"/>
      <c r="C15" s="9" t="s">
        <v>19</v>
      </c>
      <c r="D15" s="9" t="n">
        <v>0.688576</v>
      </c>
      <c r="E15" s="9" t="n">
        <f aca="false">D15*$E$107</f>
        <v>51.0946803584</v>
      </c>
      <c r="F15" s="7"/>
      <c r="G15" s="9" t="n">
        <f aca="false">D15*$E$109</f>
        <v>20.3961031232</v>
      </c>
      <c r="H15" s="7"/>
      <c r="I15" s="9" t="n">
        <f aca="false">D15*$E$108</f>
        <v>30.6217321536</v>
      </c>
      <c r="J15" s="7"/>
      <c r="K15" s="8"/>
      <c r="L15" s="8"/>
      <c r="M15" s="8"/>
      <c r="N15" s="8"/>
      <c r="O15" s="8"/>
      <c r="P15" s="8"/>
      <c r="Q15" s="8"/>
      <c r="R15" s="8"/>
      <c r="W15" s="5" t="n">
        <v>13</v>
      </c>
      <c r="X15" s="8" t="n">
        <f aca="false">180-140.8</f>
        <v>39.2</v>
      </c>
      <c r="Y15" s="8" t="n">
        <f aca="false">$E$107*$Q$2/(COS(RADIANS(X15)))</f>
        <v>71.6394234732566</v>
      </c>
      <c r="Z15" s="8" t="n">
        <f aca="false">(SQRT($D$114^2 + $D$117^2 + $D$116^2 + 2*$D$114*$D$117 + 2*$D$117*$C$119 - 2*($D$116 + (C162 + Y15/1000))*($D$114 + $C$119 + $D$117) + 2*COS(RADIANS(180-B162))*SQRT($C$119^2 + 2*$D$114*$C$119)*SQRT((C162+Y15/1000)^2 + 2*$D$116*(C162+Y15/1000))) - $D$115) * 1000 - D162</f>
        <v>-234.987474948864</v>
      </c>
      <c r="AA15" s="8" t="n">
        <f aca="false">$E$108*$Q$2/(COS(RADIANS(X15)))</f>
        <v>42.9344742319293</v>
      </c>
      <c r="AB15" s="8" t="n">
        <f aca="false">(SQRT($D$114^2 + $D$117^2 + $D$116^2 + 2*$D$114*$D$117 + 2*$D$117*$C$119 - 2*($D$116 + (C164 + AA15/1000))*($D$114 + $C$119 + $D$117) + 2*COS(RADIANS(180-B164))*SQRT($C$119^2 + 2*$D$114*$C$119)*SQRT((C164+AA15/1000)^2 + 2*$D$116*(C164+AA15/1000))) - $D$115) * 1000 -D164</f>
        <v>-123.587996167771</v>
      </c>
      <c r="AC15" s="8" t="n">
        <f aca="false">$E$109*$Q$2/(COS(RADIANS(X15)))</f>
        <v>28.5972053959022</v>
      </c>
    </row>
    <row r="16" customFormat="false" ht="12.8" hidden="false" customHeight="false" outlineLevel="0" collapsed="false">
      <c r="B16" s="5"/>
      <c r="C16" s="11" t="s">
        <v>20</v>
      </c>
      <c r="D16" s="11" t="n">
        <v>0.811171</v>
      </c>
      <c r="E16" s="11" t="n">
        <f aca="false">D16*$E$107</f>
        <v>60.1916461814</v>
      </c>
      <c r="F16" s="7"/>
      <c r="G16" s="11" t="n">
        <f aca="false">D16*$E$109</f>
        <v>24.0274528397</v>
      </c>
      <c r="H16" s="7"/>
      <c r="I16" s="11" t="n">
        <f aca="false">D16*$E$108</f>
        <v>36.0736666581</v>
      </c>
      <c r="J16" s="7"/>
      <c r="K16" s="8"/>
      <c r="L16" s="8"/>
      <c r="M16" s="8"/>
      <c r="N16" s="8"/>
      <c r="O16" s="8"/>
      <c r="P16" s="8"/>
      <c r="Q16" s="8"/>
      <c r="R16" s="8"/>
      <c r="W16" s="5" t="n">
        <v>14</v>
      </c>
      <c r="X16" s="8" t="n">
        <f aca="false">180-139.7</f>
        <v>40.3</v>
      </c>
      <c r="Y16" s="8" t="n">
        <f aca="false">$E$107*$Q$2/(COS(RADIANS(X16)))</f>
        <v>72.792555076591</v>
      </c>
      <c r="Z16" s="8" t="n">
        <f aca="false">(SQRT($D$114^2 + $D$117^2 + $D$116^2 + 2*$D$114*$D$117 + 2*$D$117*$C$119 - 2*($D$116 + (C165 + Y16/1000))*($D$114 + $C$119 + $D$117) + 2*COS(RADIANS(180-B165))*SQRT($C$119^2 + 2*$D$114*$C$119)*SQRT((C165+Y16/1000)^2 + 2*$D$116*(C165+Y16/1000))) - $D$115) * 1000 -D165</f>
        <v>-236.266223208076</v>
      </c>
      <c r="AA16" s="8" t="n">
        <f aca="false">$E$108*$Q$2/(COS(RADIANS(X16)))</f>
        <v>43.6255615789382</v>
      </c>
      <c r="AB16" s="8" t="n">
        <f aca="false">(SQRT($D$114^2 + $D$117^2 + $D$116^2 + 2*$D$114*$D$117 + 2*$D$117*$C$119 - 2*($D$116 + (C167 + AA16/1000))*($D$114 + $C$119 + $D$117) + 2*COS(RADIANS(180-B167))*SQRT($C$119^2 + 2*$D$114*$C$119)*SQRT((C167+AA16/1000)^2 + 2*$D$116*(C167+AA16/1000))) - $D$115) * 1000 -D167</f>
        <v>-125.572362638195</v>
      </c>
      <c r="AC16" s="8" t="n">
        <f aca="false">$E$109*$Q$2/(COS(RADIANS(X16)))</f>
        <v>29.0575153720339</v>
      </c>
    </row>
    <row r="17" customFormat="false" ht="12.8" hidden="false" customHeight="false" outlineLevel="0" collapsed="false">
      <c r="B17" s="5" t="n">
        <v>5</v>
      </c>
      <c r="C17" s="6" t="s">
        <v>18</v>
      </c>
      <c r="D17" s="6" t="n">
        <v>0.801447</v>
      </c>
      <c r="E17" s="6" t="n">
        <f aca="false">D17*$E$107</f>
        <v>59.4700923198</v>
      </c>
      <c r="F17" s="7" t="n">
        <f aca="false">AVERAGE(E17:E19)</f>
        <v>56.5617147912667</v>
      </c>
      <c r="G17" s="6" t="n">
        <f aca="false">D17*$E$109</f>
        <v>23.7394211529</v>
      </c>
      <c r="H17" s="7" t="n">
        <f aca="false">AVERAGE(G17:G19)</f>
        <v>22.5784476899667</v>
      </c>
      <c r="I17" s="6" t="n">
        <f aca="false">D17*$E$108</f>
        <v>35.6412296817</v>
      </c>
      <c r="J17" s="7" t="n">
        <f aca="false">AVERAGE(I17:I19)</f>
        <v>33.8981997409</v>
      </c>
      <c r="K17" s="8"/>
      <c r="L17" s="8"/>
      <c r="M17" s="8"/>
      <c r="N17" s="8"/>
      <c r="O17" s="8"/>
      <c r="P17" s="8"/>
      <c r="Q17" s="8"/>
      <c r="R17" s="8"/>
      <c r="W17" s="5" t="n">
        <v>15</v>
      </c>
      <c r="X17" s="8" t="n">
        <f aca="false">180-138.6</f>
        <v>41.4</v>
      </c>
      <c r="Y17" s="8" t="n">
        <f aca="false">$E$107*$Q$2/(COS(RADIANS(X17)))</f>
        <v>74.0111413392355</v>
      </c>
      <c r="Z17" s="8" t="n">
        <f aca="false">(SQRT($D$114^2 + $D$117^2 + $D$116^2 + 2*$D$114*$D$117 + 2*$D$117*$C$119 - 2*($D$116 + (C168 + Y17/1000))*($D$114 + $C$119 + $D$117) + 2*COS(RADIANS(180-B168))*SQRT($C$119^2 + 2*$D$114*$C$119)*SQRT((C168+Y17/1000)^2 + 2*$D$116*(C168+Y17/1000))) - $D$115) * 1000 - D168</f>
        <v>-237.61762429785</v>
      </c>
      <c r="AA17" s="8" t="n">
        <f aca="false">$E$108*$Q$2/(COS(RADIANS(X17)))</f>
        <v>44.355876787469</v>
      </c>
      <c r="AB17" s="8" t="n">
        <f aca="false">(SQRT($D$114^2 + $D$117^2 + $D$116^2 + 2*$D$114*$D$117 + 2*$D$117*$C$119 - 2*($D$116 + (C170 + AA17/1000))*($D$114 + $C$119 + $D$117) + 2*COS(RADIANS(180-B170))*SQRT($C$119^2 + 2*$D$114*$C$119)*SQRT((C170+AA17/1000)^2 + 2*$D$116*(C170+AA17/1000))) - $D$115) * 1000 -D170</f>
        <v>-127.669197874639</v>
      </c>
      <c r="AC17" s="8" t="n">
        <f aca="false">$E$109*$Q$2/(COS(RADIANS(X17)))</f>
        <v>29.5439537038342</v>
      </c>
    </row>
    <row r="18" customFormat="false" ht="12.8" hidden="false" customHeight="false" outlineLevel="0" collapsed="false">
      <c r="B18" s="5"/>
      <c r="C18" s="9" t="s">
        <v>19</v>
      </c>
      <c r="D18" s="9" t="n">
        <v>0.708409</v>
      </c>
      <c r="E18" s="9" t="n">
        <f aca="false">D18*$E$107</f>
        <v>52.5663563906</v>
      </c>
      <c r="F18" s="7"/>
      <c r="G18" s="9" t="n">
        <f aca="false">D18*$E$109</f>
        <v>20.9835704663</v>
      </c>
      <c r="H18" s="7"/>
      <c r="I18" s="9" t="n">
        <f aca="false">D18*$E$108</f>
        <v>31.5037274799</v>
      </c>
      <c r="J18" s="7"/>
      <c r="K18" s="8"/>
      <c r="L18" s="8"/>
      <c r="M18" s="8"/>
      <c r="N18" s="8"/>
      <c r="O18" s="8"/>
      <c r="P18" s="8"/>
      <c r="Q18" s="8"/>
      <c r="R18" s="8"/>
      <c r="W18" s="5" t="n">
        <v>16</v>
      </c>
      <c r="X18" s="8" t="n">
        <f aca="false">180-137.5</f>
        <v>42.5</v>
      </c>
      <c r="Y18" s="8" t="n">
        <f aca="false">$E$107*$Q$2/(COS(RADIANS(X18)))</f>
        <v>75.2994478777022</v>
      </c>
      <c r="Z18" s="8" t="n">
        <f aca="false">(SQRT($D$114^2 + $D$117^2 + $D$116^2 + 2*$D$114*$D$117 + 2*$D$117*$C$119 - 2*($D$116 + (C171 + Y18/1000))*($D$114 + $C$119 + $D$117) + 2*COS(RADIANS(180-B171))*SQRT($C$119^2 + 2*$D$114*$C$119)*SQRT((C171+Y18/1000)^2 + 2*$D$116*(C171+Y18/1000))) - $D$115) * 1000 - D171</f>
        <v>-239.046419221269</v>
      </c>
      <c r="AA18" s="8" t="n">
        <f aca="false">$E$108*$Q$2/(COS(RADIANS(X18)))</f>
        <v>45.1279762991195</v>
      </c>
      <c r="AB18" s="8" t="n">
        <f aca="false">(SQRT($D$114^2 + $D$117^2 + $D$116^2 + 2*$D$114*$D$117 + 2*$D$117*$C$119 - 2*($D$116 + (C173 + AA18/1000))*($D$114 + $C$119 + $D$117) + 2*COS(RADIANS(180-B173))*SQRT($C$119^2 + 2*$D$114*$C$119)*SQRT((C173+AA18/1000)^2 + 2*$D$116*(C173+AA18/1000))) - $D$115) * 1000 -D173</f>
        <v>-129.885812944849</v>
      </c>
      <c r="AC18" s="8" t="n">
        <f aca="false">$E$109*$Q$2/(COS(RADIANS(X18)))</f>
        <v>30.0582231508402</v>
      </c>
    </row>
    <row r="19" customFormat="false" ht="12.8" hidden="false" customHeight="false" outlineLevel="0" collapsed="false">
      <c r="B19" s="5"/>
      <c r="C19" s="11" t="s">
        <v>20</v>
      </c>
      <c r="D19" s="11" t="n">
        <v>0.776901</v>
      </c>
      <c r="E19" s="11" t="n">
        <f aca="false">D19*$E$107</f>
        <v>57.6486956634</v>
      </c>
      <c r="F19" s="7"/>
      <c r="G19" s="11" t="n">
        <f aca="false">D19*$E$109</f>
        <v>23.0123514507</v>
      </c>
      <c r="H19" s="7"/>
      <c r="I19" s="11" t="n">
        <f aca="false">D19*$E$108</f>
        <v>34.5496420611</v>
      </c>
      <c r="J19" s="7"/>
      <c r="K19" s="8"/>
      <c r="L19" s="8"/>
      <c r="M19" s="8"/>
      <c r="N19" s="8"/>
      <c r="O19" s="8"/>
      <c r="P19" s="8"/>
      <c r="Q19" s="8"/>
      <c r="R19" s="8"/>
      <c r="W19" s="5" t="n">
        <v>17</v>
      </c>
      <c r="X19" s="8" t="n">
        <f aca="false">180-136.5</f>
        <v>43.5</v>
      </c>
      <c r="Y19" s="8" t="n">
        <f aca="false">$E$107*$Q$2/(COS(RADIANS(X19)))</f>
        <v>76.5350674260376</v>
      </c>
      <c r="Z19" s="8" t="n">
        <f aca="false">(SQRT($D$114^2 + $D$117^2 + $D$116^2 + 2*$D$114*$D$117 + 2*$D$117*$C$119 - 2*($D$116 + (C174 + Y19/1000))*($D$114 + $C$119 + $D$117) + 2*COS(RADIANS(180-B174))*SQRT($C$119^2 + 2*$D$114*$C$119)*SQRT((C174+Y19/1000)^2 + 2*$D$116*(C174+Y19/1000))) - $D$115) * 1000 - D174</f>
        <v>-240.416852775525</v>
      </c>
      <c r="AA19" s="8" t="n">
        <f aca="false">$E$108*$Q$2/(COS(RADIANS(X19)))</f>
        <v>45.8684997858597</v>
      </c>
      <c r="AB19" s="8" t="n">
        <f aca="false">(SQRT($D$114^2 + $D$117^2 + $D$116^2 + 2*$D$114*$D$117 + 2*$D$117*$C$119 - 2*($D$116 + (C176 + AA19/1000))*($D$114 + $C$119 + $D$117) + 2*COS(RADIANS(180-B176))*SQRT($C$119^2 + 2*$D$114*$C$119)*SQRT((C176+AA19/1000)^2 + 2*$D$116*(C176+AA19/1000))) - $D$115) * 1000 -D176</f>
        <v>-132.011594556389</v>
      </c>
      <c r="AC19" s="8" t="n">
        <f aca="false">$E$109*$Q$2/(COS(RADIANS(X19)))</f>
        <v>30.5514608724995</v>
      </c>
    </row>
    <row r="20" customFormat="false" ht="12.8" hidden="false" customHeight="false" outlineLevel="0" collapsed="false">
      <c r="B20" s="5" t="n">
        <v>6</v>
      </c>
      <c r="C20" s="6" t="s">
        <v>18</v>
      </c>
      <c r="D20" s="6" t="n">
        <v>0.863535</v>
      </c>
      <c r="E20" s="6" t="n">
        <f aca="false">D20*$E$107</f>
        <v>64.077233019</v>
      </c>
      <c r="F20" s="7" t="n">
        <f aca="false">AVERAGE(E20:E22)</f>
        <v>59.85617261</v>
      </c>
      <c r="G20" s="6" t="n">
        <f aca="false">D20*$E$109</f>
        <v>25.5785111745</v>
      </c>
      <c r="H20" s="7" t="n">
        <f aca="false">AVERAGE(G20:G22)</f>
        <v>23.893537655</v>
      </c>
      <c r="I20" s="6" t="n">
        <f aca="false">D20*$E$108</f>
        <v>38.4023513385</v>
      </c>
      <c r="J20" s="7" t="n">
        <f aca="false">AVERAGE(I20:I22)</f>
        <v>35.872612815</v>
      </c>
      <c r="K20" s="8"/>
      <c r="L20" s="8"/>
      <c r="M20" s="8"/>
      <c r="N20" s="8"/>
      <c r="O20" s="8"/>
      <c r="P20" s="8"/>
      <c r="Q20" s="8"/>
      <c r="R20" s="8"/>
      <c r="W20" s="5" t="n">
        <v>18</v>
      </c>
      <c r="X20" s="8" t="n">
        <f aca="false">180-135.5</f>
        <v>44.5</v>
      </c>
      <c r="Y20" s="8" t="n">
        <f aca="false">$E$107*$Q$2/(COS(RADIANS(X20)))</f>
        <v>77.8360202371834</v>
      </c>
      <c r="Z20" s="8" t="n">
        <f aca="false">(SQRT($D$114^2 + $D$117^2 + $D$116^2 + 2*$D$114*$D$117 + 2*$D$117*$C$119 - 2*($D$116 + (C177 + Y20/1000))*($D$114 + $C$119 + $D$117) + 2*COS(RADIANS(180-B177))*SQRT($C$119^2 + 2*$D$114*$C$119)*SQRT((C177+Y20/1000)^2 + 2*$D$116*(C177+Y20/1000))) - $D$115) * 1000 - D177</f>
        <v>-241.859822013795</v>
      </c>
      <c r="AA20" s="8" t="n">
        <f aca="false">$E$108*$Q$2/(COS(RADIANS(X20)))</f>
        <v>46.6481783795595</v>
      </c>
      <c r="AB20" s="8" t="n">
        <f aca="false">(SQRT($D$114^2 + $D$117^2 + $D$116^2 + 2*$D$114*$D$117 + 2*$D$117*$C$119 - 2*($D$116 + (C179 + AA20/1000))*($D$114 + $C$119 + $D$117) + 2*COS(RADIANS(180-B179))*SQRT($C$119^2 + 2*$D$114*$C$119)*SQRT((C179+AA20/1000)^2 + 2*$D$116*(C179+AA20/1000))) - $D$115) * 1000 -D179</f>
        <v>-134.249584083591</v>
      </c>
      <c r="AC20" s="8" t="n">
        <f aca="false">$E$109*$Q$2/(COS(RADIANS(X20)))</f>
        <v>31.0707784904673</v>
      </c>
    </row>
    <row r="21" customFormat="false" ht="12.8" hidden="false" customHeight="false" outlineLevel="0" collapsed="false">
      <c r="B21" s="5"/>
      <c r="C21" s="9" t="s">
        <v>19</v>
      </c>
      <c r="D21" s="9" t="n">
        <v>0.692542</v>
      </c>
      <c r="E21" s="9" t="n">
        <f aca="false">D21*$E$107</f>
        <v>51.3889710428</v>
      </c>
      <c r="F21" s="7"/>
      <c r="G21" s="9" t="n">
        <f aca="false">D21*$E$109</f>
        <v>20.5135788194</v>
      </c>
      <c r="H21" s="7"/>
      <c r="I21" s="9" t="n">
        <f aca="false">D21*$E$108</f>
        <v>30.7981045362</v>
      </c>
      <c r="J21" s="7"/>
      <c r="K21" s="8"/>
      <c r="L21" s="8"/>
      <c r="M21" s="8"/>
      <c r="N21" s="8"/>
      <c r="O21" s="8"/>
      <c r="P21" s="8"/>
      <c r="Q21" s="8"/>
      <c r="R21" s="8"/>
      <c r="W21" s="5" t="n">
        <v>19</v>
      </c>
      <c r="X21" s="8" t="n">
        <f aca="false">180-134.6</f>
        <v>45.4</v>
      </c>
      <c r="Y21" s="8" t="n">
        <f aca="false">$E$107*$Q$2/(COS(RADIANS(X21)))</f>
        <v>79.066203810877</v>
      </c>
      <c r="Z21" s="8" t="n">
        <f aca="false">(SQRT($D$114^2 + $D$117^2 + $D$116^2 + 2*$D$114*$D$117 + 2*$D$117*$C$119 - 2*($D$116 + (C180 + Y21/1000))*($D$114 + $C$119 + $D$117) + 2*COS(RADIANS(180-B180))*SQRT($C$119^2 + 2*$D$114*$C$119)*SQRT((C180+Y21/1000)^2 + 2*$D$116*(C180+Y21/1000))) - $D$115) * 1000 - D180</f>
        <v>-243.224365625792</v>
      </c>
      <c r="AA21" s="8" t="n">
        <f aca="false">$E$108*$Q$2/(COS(RADIANS(X21)))</f>
        <v>47.3854440132648</v>
      </c>
      <c r="AB21" s="8" t="n">
        <f aca="false">(SQRT($D$114^2 + $D$117^2 + $D$116^2 + 2*$D$114*$D$117 + 2*$D$117*$C$119 - 2*($D$116 + (C182 + AA21/1000))*($D$114 + $C$119 + $D$117) + 2*COS(RADIANS(180-B182))*SQRT($C$119^2 + 2*$D$114*$C$119)*SQRT((C182+AA21/1000)^2 + 2*$D$116*(C182+AA21/1000))) - $D$115) * 1000 -D182</f>
        <v>-136.365649814252</v>
      </c>
      <c r="AC21" s="8" t="n">
        <f aca="false">$E$109*$Q$2/(COS(RADIANS(X21)))</f>
        <v>31.5618462660854</v>
      </c>
    </row>
    <row r="22" customFormat="false" ht="12.8" hidden="false" customHeight="false" outlineLevel="0" collapsed="false">
      <c r="B22" s="5"/>
      <c r="C22" s="11" t="s">
        <v>20</v>
      </c>
      <c r="D22" s="11" t="n">
        <v>0.863873</v>
      </c>
      <c r="E22" s="11" t="n">
        <f aca="false">D22*$E$107</f>
        <v>64.1023137682</v>
      </c>
      <c r="F22" s="7"/>
      <c r="G22" s="11" t="n">
        <f aca="false">D22*$E$109</f>
        <v>25.5885229711</v>
      </c>
      <c r="H22" s="7"/>
      <c r="I22" s="11" t="n">
        <f aca="false">D22*$E$108</f>
        <v>38.4173825703</v>
      </c>
      <c r="J22" s="7"/>
      <c r="K22" s="8"/>
      <c r="L22" s="8"/>
      <c r="M22" s="8"/>
      <c r="N22" s="8"/>
      <c r="O22" s="8"/>
      <c r="P22" s="8"/>
      <c r="Q22" s="8"/>
      <c r="R22" s="8"/>
      <c r="W22" s="5" t="n">
        <v>20</v>
      </c>
      <c r="X22" s="8" t="n">
        <f aca="false">180-133.7</f>
        <v>46.3</v>
      </c>
      <c r="Y22" s="8" t="n">
        <f aca="false">$E$107*$Q$2/(COS(RADIANS(X22)))</f>
        <v>80.3560425109288</v>
      </c>
      <c r="Z22" s="8" t="n">
        <f aca="false">(SQRT($D$114^2 + $D$117^2 + $D$116^2 + 2*$D$114*$D$117 + 2*$D$117*$C$119 - 2*($D$116 + (C183 + Y22/1000))*($D$114 + $C$119 + $D$117) + 2*COS(RADIANS(180-B183))*SQRT($C$119^2 + 2*$D$114*$C$119)*SQRT((C183+Y22/1000)^2 + 2*$D$116*(C183+Y22/1000))) - $D$115) * 1000 - D183</f>
        <v>-244.655150992918</v>
      </c>
      <c r="AA22" s="8" t="n">
        <f aca="false">$E$108*$Q$2/(COS(RADIANS(X22)))</f>
        <v>48.1584617700505</v>
      </c>
      <c r="AB22" s="8" t="n">
        <f aca="false">(SQRT($D$114^2 + $D$117^2 + $D$116^2 + 2*$D$114*$D$117 + 2*$D$117*$C$119 - 2*($D$116 + (C185 + AA22/1000))*($D$114 + $C$119 + $D$117) + 2*COS(RADIANS(180-B185))*SQRT($C$119^2 + 2*$D$114*$C$119)*SQRT((C185+AA22/1000)^2 + 2*$D$116*(C185+AA22/1000))) - $D$115) * 1000 -D185</f>
        <v>-138.584140109743</v>
      </c>
      <c r="AC22" s="8" t="n">
        <f aca="false">$E$109*$Q$2/(COS(RADIANS(X22)))</f>
        <v>32.0767273252098</v>
      </c>
    </row>
    <row r="23" customFormat="false" ht="12.8" hidden="false" customHeight="false" outlineLevel="0" collapsed="false">
      <c r="B23" s="5" t="n">
        <v>7</v>
      </c>
      <c r="C23" s="6" t="s">
        <v>18</v>
      </c>
      <c r="D23" s="6" t="n">
        <v>0.881661</v>
      </c>
      <c r="E23" s="6" t="n">
        <f aca="false">D23*$E$107</f>
        <v>65.4222438474</v>
      </c>
      <c r="F23" s="7" t="n">
        <f aca="false">AVERAGE(E23:E25)</f>
        <v>59.8394026416</v>
      </c>
      <c r="G23" s="6" t="n">
        <f aca="false">D23*$E$109</f>
        <v>26.1154159827</v>
      </c>
      <c r="H23" s="7" t="n">
        <f aca="false">AVERAGE(G23:G25)</f>
        <v>23.8868433768</v>
      </c>
      <c r="I23" s="6" t="n">
        <f aca="false">D23*$E$108</f>
        <v>39.2084344971</v>
      </c>
      <c r="J23" s="7" t="n">
        <f aca="false">AVERAGE(I23:I25)</f>
        <v>35.8625623464</v>
      </c>
      <c r="K23" s="8"/>
      <c r="L23" s="8"/>
      <c r="M23" s="8"/>
      <c r="N23" s="8"/>
      <c r="O23" s="8"/>
      <c r="P23" s="8"/>
      <c r="Q23" s="8"/>
      <c r="R23" s="8"/>
      <c r="W23" s="5" t="n">
        <v>21</v>
      </c>
      <c r="X23" s="8" t="n">
        <f aca="false">180-132.8</f>
        <v>47.2</v>
      </c>
      <c r="Y23" s="8" t="n">
        <f aca="false">$E$107*$Q$2/(COS(RADIANS(X23)))</f>
        <v>81.7091572831091</v>
      </c>
      <c r="Z23" s="8" t="n">
        <f aca="false">(SQRT($D$114^2 + $D$117^2 + $D$116^2 + 2*$D$114*$D$117 + 2*$D$117*$C$119 - 2*($D$116 + (C186 + Y23/1000))*($D$114 + $C$119 + $D$117) + 2*COS(RADIANS(180-B186))*SQRT($C$119^2 + 2*$D$114*$C$119)*SQRT((C186+Y23/1000)^2 + 2*$D$116*(C186+Y23/1000))) - $D$115) * 1000 - D186</f>
        <v>-246.156204164434</v>
      </c>
      <c r="AA23" s="8" t="n">
        <f aca="false">$E$108*$Q$2/(COS(RADIANS(X23)))</f>
        <v>48.9694017316305</v>
      </c>
      <c r="AB23" s="8" t="n">
        <f aca="false">(SQRT($D$114^2 + $D$117^2 + $D$116^2 + 2*$D$114*$D$117 + 2*$D$117*$C$119 - 2*($D$116 + (C188 + AA23/1000))*($D$114 + $C$119 + $D$117) + 2*COS(RADIANS(180-B188))*SQRT($C$119^2 + 2*$D$114*$C$119)*SQRT((C188+AA23/1000)^2 + 2*$D$116*(C188+AA23/1000))) - $D$115) * 1000 -D188</f>
        <v>-140.911255239189</v>
      </c>
      <c r="AC23" s="8" t="n">
        <f aca="false">$E$109*$Q$2/(COS(RADIANS(X23)))</f>
        <v>32.6168670860876</v>
      </c>
    </row>
    <row r="24" customFormat="false" ht="12.8" hidden="false" customHeight="false" outlineLevel="0" collapsed="false">
      <c r="B24" s="5"/>
      <c r="C24" s="9" t="s">
        <v>19</v>
      </c>
      <c r="D24" s="9" t="n">
        <v>0.696522</v>
      </c>
      <c r="E24" s="9" t="n">
        <f aca="false">D24*$E$107</f>
        <v>51.6843005748</v>
      </c>
      <c r="F24" s="7"/>
      <c r="G24" s="9" t="n">
        <f aca="false">D24*$E$109</f>
        <v>20.6314692054</v>
      </c>
      <c r="H24" s="7"/>
      <c r="I24" s="9" t="n">
        <f aca="false">D24*$E$108</f>
        <v>30.9750995142</v>
      </c>
      <c r="J24" s="7"/>
      <c r="K24" s="8"/>
      <c r="L24" s="8"/>
      <c r="M24" s="8"/>
      <c r="N24" s="8"/>
      <c r="O24" s="8"/>
      <c r="P24" s="8"/>
      <c r="Q24" s="8"/>
      <c r="R24" s="8"/>
      <c r="W24" s="5" t="n">
        <v>22</v>
      </c>
      <c r="X24" s="8" t="n">
        <f aca="false">180-131.9</f>
        <v>48.1</v>
      </c>
      <c r="Y24" s="8" t="n">
        <f aca="false">$E$107*$Q$2/(COS(RADIANS(X24)))</f>
        <v>83.1294849880254</v>
      </c>
      <c r="Z24" s="8" t="n">
        <f aca="false">(SQRT($D$114^2 + $D$117^2 + $D$116^2 + 2*$D$114*$D$117 + 2*$D$117*$C$119 - 2*($D$116 + (C189 + Y24/1000))*($D$114 + $C$119 + $D$117) + 2*COS(RADIANS(180-B189))*SQRT($C$119^2 + 2*$D$114*$C$119)*SQRT((C189+Y24/1000)^2 + 2*$D$116*(C189+Y24/1000))) - $D$115) * 1000 - D189</f>
        <v>-247.731902807573</v>
      </c>
      <c r="AA24" s="8" t="n">
        <f aca="false">$E$108*$Q$2/(COS(RADIANS(X24)))</f>
        <v>49.8206233117482</v>
      </c>
      <c r="AB24" s="8" t="n">
        <f aca="false">(SQRT($D$114^2 + $D$117^2 + $D$116^2 + 2*$D$114*$D$117 + 2*$D$117*$C$119 - 2*($D$116 + (C191 + AA24/1000))*($D$114 + $C$119 + $D$117) + 2*COS(RADIANS(180-B191))*SQRT($C$119^2 + 2*$D$114*$C$119)*SQRT((C191+AA24/1000)^2 + 2*$D$116*(C191+AA24/1000))) - $D$115) * 1000 -D191</f>
        <v>-143.353735093115</v>
      </c>
      <c r="AC24" s="8" t="n">
        <f aca="false">$E$109*$Q$2/(COS(RADIANS(X24)))</f>
        <v>33.1838370746462</v>
      </c>
    </row>
    <row r="25" customFormat="false" ht="12.8" hidden="false" customHeight="false" outlineLevel="0" collapsed="false">
      <c r="B25" s="5"/>
      <c r="C25" s="11" t="s">
        <v>20</v>
      </c>
      <c r="D25" s="11" t="n">
        <v>0.841089</v>
      </c>
      <c r="E25" s="11" t="n">
        <f aca="false">D25*$E$107</f>
        <v>62.4116635026</v>
      </c>
      <c r="F25" s="7"/>
      <c r="G25" s="11" t="n">
        <f aca="false">D25*$E$109</f>
        <v>24.9136449423</v>
      </c>
      <c r="H25" s="7"/>
      <c r="I25" s="11" t="n">
        <f aca="false">D25*$E$108</f>
        <v>37.4041530279</v>
      </c>
      <c r="J25" s="7"/>
      <c r="K25" s="8"/>
      <c r="L25" s="8"/>
      <c r="M25" s="8"/>
      <c r="N25" s="8"/>
      <c r="O25" s="8"/>
      <c r="P25" s="8"/>
      <c r="Q25" s="8"/>
      <c r="R25" s="8"/>
      <c r="W25" s="5" t="n">
        <v>23</v>
      </c>
      <c r="X25" s="8" t="n">
        <f aca="false">180-131</f>
        <v>49</v>
      </c>
      <c r="Y25" s="8" t="n">
        <f aca="false">$E$107*$Q$2/(COS(RADIANS(X25)))</f>
        <v>84.6213129327244</v>
      </c>
      <c r="Z25" s="8" t="n">
        <f aca="false">(SQRT($D$114^2 + $D$117^2 + $D$116^2 + 2*$D$114*$D$117 + 2*$D$117*$C$119 - 2*($D$116 + (C192 + Y25/1000))*($D$114 + $C$119 + $D$117) + 2*COS(RADIANS(180-B192))*SQRT($C$119^2 + 2*$D$114*$C$119)*SQRT((C192+Y25/1000)^2 + 2*$D$116*(C192+Y25/1000))) - $D$115) * 1000 - D192</f>
        <v>-249.387014671807</v>
      </c>
      <c r="AA25" s="8" t="n">
        <f aca="false">$E$108*$Q$2/(COS(RADIANS(X25)))</f>
        <v>50.7146959514319</v>
      </c>
      <c r="AB25" s="8" t="n">
        <f aca="false">(SQRT($D$114^2 + $D$117^2 + $D$116^2 + 2*$D$114*$D$117 + 2*$D$117*$C$119 - 2*($D$116 + (C194 + AA25/1000))*($D$114 + $C$119 + $D$117) + 2*COS(RADIANS(180-B194))*SQRT($C$119^2 + 2*$D$114*$C$119)*SQRT((C194+AA25/1000)^2 + 2*$D$116*(C194+AA25/1000))) - $D$115) * 1000 -D194</f>
        <v>-145.918918049574</v>
      </c>
      <c r="AC25" s="8" t="n">
        <f aca="false">$E$109*$Q$2/(COS(RADIANS(X25)))</f>
        <v>33.7793487089048</v>
      </c>
    </row>
    <row r="26" customFormat="false" ht="12.8" hidden="false" customHeight="false" outlineLevel="0" collapsed="false">
      <c r="B26" s="5" t="n">
        <v>8</v>
      </c>
      <c r="C26" s="6" t="s">
        <v>18</v>
      </c>
      <c r="D26" s="6" t="n">
        <v>0.853982</v>
      </c>
      <c r="E26" s="6" t="n">
        <f aca="false">D26*$E$107</f>
        <v>63.3683679388</v>
      </c>
      <c r="F26" s="7" t="n">
        <f aca="false">AVERAGE(E26:E28)</f>
        <v>61.4771706174667</v>
      </c>
      <c r="G26" s="6" t="n">
        <f aca="false">D26*$E$109</f>
        <v>25.2955446274</v>
      </c>
      <c r="H26" s="7" t="n">
        <f aca="false">AVERAGE(G26:G28)</f>
        <v>24.5406117200667</v>
      </c>
      <c r="I26" s="6" t="n">
        <f aca="false">D26*$E$108</f>
        <v>37.9775189202</v>
      </c>
      <c r="J26" s="7" t="n">
        <f aca="false">AVERAGE(I26:I28)</f>
        <v>36.8440988182</v>
      </c>
      <c r="K26" s="8"/>
      <c r="L26" s="8"/>
      <c r="M26" s="8"/>
      <c r="N26" s="8"/>
      <c r="O26" s="8"/>
      <c r="P26" s="8"/>
      <c r="Q26" s="8"/>
      <c r="R26" s="8"/>
    </row>
    <row r="27" customFormat="false" ht="12.8" hidden="false" customHeight="false" outlineLevel="0" collapsed="false">
      <c r="B27" s="5"/>
      <c r="C27" s="9" t="s">
        <v>19</v>
      </c>
      <c r="D27" s="9" t="n">
        <v>0.765965</v>
      </c>
      <c r="E27" s="9" t="n">
        <f aca="false">D27*$E$107</f>
        <v>56.837207281</v>
      </c>
      <c r="F27" s="7"/>
      <c r="G27" s="9" t="n">
        <f aca="false">D27*$E$109</f>
        <v>22.6884194755</v>
      </c>
      <c r="H27" s="7"/>
      <c r="I27" s="9" t="n">
        <f aca="false">D27*$E$108</f>
        <v>34.0633061115</v>
      </c>
      <c r="J27" s="7"/>
      <c r="K27" s="8"/>
      <c r="L27" s="8"/>
      <c r="M27" s="8"/>
      <c r="N27" s="8"/>
      <c r="O27" s="8"/>
      <c r="P27" s="8"/>
      <c r="Q27" s="8"/>
      <c r="R27" s="8"/>
    </row>
    <row r="28" customFormat="false" ht="12.8" hidden="false" customHeight="false" outlineLevel="0" collapsed="false">
      <c r="B28" s="5"/>
      <c r="C28" s="11" t="s">
        <v>20</v>
      </c>
      <c r="D28" s="11" t="n">
        <v>0.865539</v>
      </c>
      <c r="E28" s="11" t="n">
        <f aca="false">D28*$E$107</f>
        <v>64.2259366326</v>
      </c>
      <c r="F28" s="7"/>
      <c r="G28" s="11" t="n">
        <f aca="false">D28*$E$109</f>
        <v>25.6378710573</v>
      </c>
      <c r="H28" s="7"/>
      <c r="I28" s="11" t="n">
        <f aca="false">D28*$E$108</f>
        <v>38.4914714229</v>
      </c>
      <c r="J28" s="7"/>
      <c r="K28" s="8"/>
      <c r="L28" s="8"/>
      <c r="M28" s="8"/>
      <c r="N28" s="8"/>
      <c r="O28" s="8"/>
      <c r="P28" s="8"/>
      <c r="Q28" s="8"/>
      <c r="R28" s="8"/>
    </row>
    <row r="29" customFormat="false" ht="12.8" hidden="false" customHeight="false" outlineLevel="0" collapsed="false">
      <c r="B29" s="5" t="n">
        <v>9</v>
      </c>
      <c r="C29" s="6" t="s">
        <v>18</v>
      </c>
      <c r="D29" s="6" t="n">
        <v>0.860528</v>
      </c>
      <c r="E29" s="6" t="n">
        <f aca="false">D29*$E$107</f>
        <v>63.8541033952</v>
      </c>
      <c r="F29" s="7" t="n">
        <f aca="false">AVERAGE(E29:E31)</f>
        <v>61.4904530260667</v>
      </c>
      <c r="G29" s="6" t="n">
        <f aca="false">D29*$E$109</f>
        <v>25.4894417296</v>
      </c>
      <c r="H29" s="7" t="n">
        <f aca="false">AVERAGE(G29:G31)</f>
        <v>24.5459138253667</v>
      </c>
      <c r="I29" s="6" t="n">
        <f aca="false">D29*$E$108</f>
        <v>38.2686267408</v>
      </c>
      <c r="J29" s="7" t="n">
        <f aca="false">AVERAGE(I29:I31)</f>
        <v>36.8520591451</v>
      </c>
      <c r="K29" s="8"/>
      <c r="L29" s="8"/>
      <c r="M29" s="8"/>
      <c r="N29" s="8"/>
      <c r="O29" s="8"/>
      <c r="P29" s="8"/>
      <c r="Q29" s="8"/>
      <c r="R29" s="8"/>
    </row>
    <row r="30" customFormat="false" ht="12.8" hidden="false" customHeight="false" outlineLevel="0" collapsed="false">
      <c r="B30" s="5"/>
      <c r="C30" s="9" t="s">
        <v>19</v>
      </c>
      <c r="D30" s="9" t="n">
        <v>0.76401</v>
      </c>
      <c r="E30" s="9" t="n">
        <f aca="false">D30*$E$107</f>
        <v>56.692139634</v>
      </c>
      <c r="F30" s="7"/>
      <c r="G30" s="9" t="n">
        <f aca="false">D30*$E$109</f>
        <v>22.630511007</v>
      </c>
      <c r="H30" s="7"/>
      <c r="I30" s="9" t="n">
        <f aca="false">D30*$E$108</f>
        <v>33.976365111</v>
      </c>
      <c r="J30" s="7"/>
      <c r="K30" s="8"/>
      <c r="L30" s="8"/>
      <c r="M30" s="8"/>
      <c r="N30" s="8"/>
      <c r="O30" s="8"/>
      <c r="P30" s="8"/>
      <c r="Q30" s="8"/>
      <c r="R30" s="8"/>
    </row>
    <row r="31" customFormat="false" ht="12.8" hidden="false" customHeight="false" outlineLevel="0" collapsed="false">
      <c r="B31" s="5"/>
      <c r="C31" s="11" t="s">
        <v>20</v>
      </c>
      <c r="D31" s="11" t="n">
        <v>0.861485</v>
      </c>
      <c r="E31" s="11" t="n">
        <f aca="false">D31*$E$107</f>
        <v>63.925116049</v>
      </c>
      <c r="F31" s="7"/>
      <c r="G31" s="11" t="n">
        <f aca="false">D31*$E$109</f>
        <v>25.5177887395</v>
      </c>
      <c r="H31" s="7"/>
      <c r="I31" s="11" t="n">
        <f aca="false">D31*$E$108</f>
        <v>38.3111855835</v>
      </c>
      <c r="J31" s="7"/>
      <c r="K31" s="8"/>
      <c r="L31" s="8"/>
      <c r="M31" s="8"/>
      <c r="N31" s="8"/>
      <c r="O31" s="8"/>
      <c r="P31" s="8"/>
      <c r="Q31" s="8"/>
      <c r="R31" s="8"/>
    </row>
    <row r="32" customFormat="false" ht="12.8" hidden="false" customHeight="false" outlineLevel="0" collapsed="false">
      <c r="B32" s="5" t="n">
        <v>10</v>
      </c>
      <c r="C32" s="6" t="s">
        <v>18</v>
      </c>
      <c r="D32" s="6" t="n">
        <v>0.86195</v>
      </c>
      <c r="E32" s="6" t="n">
        <f aca="false">D32*$E$107</f>
        <v>63.95962063</v>
      </c>
      <c r="F32" s="7" t="n">
        <f aca="false">AVERAGE(E32:E34)</f>
        <v>61.5966875604</v>
      </c>
      <c r="G32" s="6" t="n">
        <f aca="false">D32*$E$109</f>
        <v>25.531562365</v>
      </c>
      <c r="H32" s="7" t="n">
        <f aca="false">AVERAGE(G32:G34)</f>
        <v>24.5883207942</v>
      </c>
      <c r="I32" s="6" t="n">
        <f aca="false">D32*$E$108</f>
        <v>38.331864645</v>
      </c>
      <c r="J32" s="7" t="n">
        <f aca="false">AVERAGE(I32:I34)</f>
        <v>36.9157269366</v>
      </c>
      <c r="K32" s="8"/>
      <c r="L32" s="8"/>
      <c r="M32" s="8"/>
      <c r="N32" s="8"/>
      <c r="O32" s="8"/>
      <c r="P32" s="8"/>
      <c r="Q32" s="8"/>
      <c r="R32" s="8"/>
    </row>
    <row r="33" customFormat="false" ht="12.8" hidden="false" customHeight="false" outlineLevel="0" collapsed="false">
      <c r="B33" s="5"/>
      <c r="C33" s="9" t="s">
        <v>19</v>
      </c>
      <c r="D33" s="9" t="n">
        <v>0.758591</v>
      </c>
      <c r="E33" s="9" t="n">
        <f aca="false">D33*$E$107</f>
        <v>56.2900314094</v>
      </c>
      <c r="F33" s="7"/>
      <c r="G33" s="9" t="n">
        <f aca="false">D33*$E$109</f>
        <v>22.4699964337</v>
      </c>
      <c r="H33" s="7"/>
      <c r="I33" s="9" t="n">
        <f aca="false">D33*$E$108</f>
        <v>33.7353762201</v>
      </c>
      <c r="J33" s="7"/>
      <c r="K33" s="8"/>
      <c r="L33" s="8"/>
      <c r="M33" s="8"/>
      <c r="N33" s="8"/>
      <c r="O33" s="8"/>
      <c r="P33" s="8"/>
      <c r="Q33" s="8"/>
      <c r="R33" s="8"/>
    </row>
    <row r="34" customFormat="false" ht="12.8" hidden="false" customHeight="false" outlineLevel="0" collapsed="false">
      <c r="B34" s="5"/>
      <c r="C34" s="11" t="s">
        <v>20</v>
      </c>
      <c r="D34" s="11" t="n">
        <v>0.869777</v>
      </c>
      <c r="E34" s="11" t="n">
        <f aca="false">D34*$E$107</f>
        <v>64.5404106418</v>
      </c>
      <c r="F34" s="7"/>
      <c r="G34" s="11" t="n">
        <f aca="false">D34*$E$109</f>
        <v>25.7634035839</v>
      </c>
      <c r="H34" s="7"/>
      <c r="I34" s="11" t="n">
        <f aca="false">D34*$E$108</f>
        <v>38.6799399447</v>
      </c>
      <c r="J34" s="7"/>
      <c r="K34" s="8"/>
      <c r="L34" s="8"/>
      <c r="M34" s="8"/>
      <c r="N34" s="8"/>
      <c r="O34" s="8"/>
      <c r="P34" s="8"/>
      <c r="Q34" s="8"/>
      <c r="R34" s="8"/>
    </row>
    <row r="35" customFormat="false" ht="12.8" hidden="false" customHeight="false" outlineLevel="0" collapsed="false">
      <c r="B35" s="5" t="n">
        <v>11</v>
      </c>
      <c r="C35" s="6" t="s">
        <v>18</v>
      </c>
      <c r="D35" s="6" t="n">
        <v>0.88979</v>
      </c>
      <c r="E35" s="6" t="n">
        <f aca="false">D35*$E$107</f>
        <v>66.025443286</v>
      </c>
      <c r="F35" s="7" t="n">
        <f aca="false">AVERAGE(E35:E37)</f>
        <v>59.6906742935333</v>
      </c>
      <c r="G35" s="6" t="n">
        <f aca="false">D35*$E$109</f>
        <v>26.356202653</v>
      </c>
      <c r="H35" s="7" t="n">
        <f aca="false">AVERAGE(G35:G37)</f>
        <v>23.8274736204333</v>
      </c>
      <c r="I35" s="6" t="n">
        <f aca="false">D35*$E$108</f>
        <v>39.569940069</v>
      </c>
      <c r="J35" s="7" t="n">
        <f aca="false">AVERAGE(I35:I37)</f>
        <v>35.7734274383</v>
      </c>
      <c r="K35" s="8"/>
      <c r="L35" s="8"/>
      <c r="M35" s="8"/>
      <c r="N35" s="8"/>
      <c r="O35" s="8"/>
      <c r="P35" s="8"/>
      <c r="Q35" s="8"/>
      <c r="R35" s="8"/>
    </row>
    <row r="36" customFormat="false" ht="12.8" hidden="false" customHeight="false" outlineLevel="0" collapsed="false">
      <c r="B36" s="5"/>
      <c r="C36" s="9" t="s">
        <v>19</v>
      </c>
      <c r="D36" s="9" t="n">
        <v>0.670143</v>
      </c>
      <c r="E36" s="9" t="n">
        <f aca="false">D36*$E$107</f>
        <v>49.7268890862</v>
      </c>
      <c r="F36" s="7"/>
      <c r="G36" s="9" t="n">
        <f aca="false">D36*$E$109</f>
        <v>19.8501047601</v>
      </c>
      <c r="H36" s="7"/>
      <c r="I36" s="9" t="n">
        <f aca="false">D36*$E$108</f>
        <v>29.8019963673</v>
      </c>
      <c r="J36" s="7"/>
      <c r="K36" s="8"/>
      <c r="L36" s="8"/>
      <c r="M36" s="8"/>
      <c r="N36" s="8"/>
      <c r="O36" s="8"/>
      <c r="P36" s="8"/>
      <c r="Q36" s="8"/>
      <c r="R36" s="8"/>
    </row>
    <row r="37" customFormat="false" ht="12.8" hidden="false" customHeight="false" outlineLevel="0" collapsed="false">
      <c r="B37" s="5"/>
      <c r="C37" s="11" t="s">
        <v>20</v>
      </c>
      <c r="D37" s="11" t="n">
        <v>0.853326</v>
      </c>
      <c r="E37" s="11" t="n">
        <f aca="false">D37*$E$107</f>
        <v>63.3196905084</v>
      </c>
      <c r="F37" s="7"/>
      <c r="G37" s="11" t="n">
        <f aca="false">D37*$E$109</f>
        <v>25.2761134482</v>
      </c>
      <c r="H37" s="7"/>
      <c r="I37" s="11" t="n">
        <f aca="false">D37*$E$108</f>
        <v>37.9483458786</v>
      </c>
      <c r="J37" s="7"/>
      <c r="K37" s="8"/>
      <c r="L37" s="8"/>
      <c r="M37" s="8"/>
      <c r="N37" s="8"/>
      <c r="O37" s="8"/>
      <c r="P37" s="8"/>
      <c r="Q37" s="8"/>
      <c r="R37" s="8"/>
    </row>
    <row r="38" customFormat="false" ht="12.8" hidden="false" customHeight="false" outlineLevel="0" collapsed="false">
      <c r="B38" s="5" t="n">
        <v>12</v>
      </c>
      <c r="C38" s="6" t="s">
        <v>18</v>
      </c>
      <c r="D38" s="6" t="n">
        <v>0.847148</v>
      </c>
      <c r="E38" s="6" t="n">
        <f aca="false">D38*$E$107</f>
        <v>62.8612619032</v>
      </c>
      <c r="F38" s="7" t="n">
        <f aca="false">AVERAGE(E38:E40)</f>
        <v>60.9943043592</v>
      </c>
      <c r="G38" s="6" t="n">
        <f aca="false">D38*$E$109</f>
        <v>25.0931167636</v>
      </c>
      <c r="H38" s="7" t="n">
        <f aca="false">AVERAGE(G38:G40)</f>
        <v>24.3478599516</v>
      </c>
      <c r="I38" s="6" t="n">
        <f aca="false">D38*$E$108</f>
        <v>37.6736034228</v>
      </c>
      <c r="J38" s="7" t="n">
        <f aca="false">AVERAGE(I38:I40)</f>
        <v>36.5547105468</v>
      </c>
      <c r="K38" s="8"/>
      <c r="L38" s="8"/>
      <c r="M38" s="8"/>
      <c r="N38" s="8"/>
      <c r="O38" s="8"/>
      <c r="P38" s="8"/>
      <c r="Q38" s="8"/>
      <c r="R38" s="8"/>
    </row>
    <row r="39" customFormat="false" ht="12.8" hidden="false" customHeight="false" outlineLevel="0" collapsed="false">
      <c r="B39" s="5"/>
      <c r="C39" s="9" t="s">
        <v>19</v>
      </c>
      <c r="D39" s="9" t="n">
        <v>0.747275</v>
      </c>
      <c r="E39" s="9" t="n">
        <f aca="false">D39*$E$107</f>
        <v>55.450345735</v>
      </c>
      <c r="F39" s="7"/>
      <c r="G39" s="9" t="n">
        <f aca="false">D39*$E$109</f>
        <v>22.1348085925</v>
      </c>
      <c r="H39" s="7"/>
      <c r="I39" s="9" t="n">
        <f aca="false">D39*$E$108</f>
        <v>33.2321412525</v>
      </c>
      <c r="J39" s="7"/>
      <c r="K39" s="8"/>
      <c r="L39" s="8"/>
      <c r="M39" s="8"/>
      <c r="N39" s="8"/>
      <c r="O39" s="8"/>
      <c r="P39" s="8"/>
      <c r="Q39" s="8"/>
      <c r="R39" s="8"/>
    </row>
    <row r="40" customFormat="false" ht="12.8" hidden="false" customHeight="false" outlineLevel="0" collapsed="false">
      <c r="B40" s="5"/>
      <c r="C40" s="11" t="s">
        <v>20</v>
      </c>
      <c r="D40" s="11" t="n">
        <v>0.871541</v>
      </c>
      <c r="E40" s="11" t="n">
        <f aca="false">D40*$E$107</f>
        <v>64.6713054394</v>
      </c>
      <c r="F40" s="7"/>
      <c r="G40" s="11" t="n">
        <f aca="false">D40*$E$109</f>
        <v>25.8156544987</v>
      </c>
      <c r="H40" s="7"/>
      <c r="I40" s="11" t="n">
        <f aca="false">D40*$E$108</f>
        <v>38.7583869651</v>
      </c>
      <c r="J40" s="7"/>
      <c r="K40" s="8"/>
      <c r="L40" s="8"/>
      <c r="M40" s="8"/>
      <c r="N40" s="8"/>
      <c r="O40" s="8"/>
      <c r="P40" s="8"/>
      <c r="Q40" s="8"/>
      <c r="R40" s="8"/>
    </row>
    <row r="41" customFormat="false" ht="12.8" hidden="false" customHeight="false" outlineLevel="0" collapsed="false">
      <c r="B41" s="5" t="n">
        <v>13</v>
      </c>
      <c r="C41" s="6" t="s">
        <v>18</v>
      </c>
      <c r="D41" s="6" t="n">
        <v>0.83429</v>
      </c>
      <c r="E41" s="6" t="n">
        <f aca="false">D41*$E$107</f>
        <v>61.907154586</v>
      </c>
      <c r="F41" s="7" t="n">
        <f aca="false">AVERAGE(E41:E43)</f>
        <v>60.0866731048667</v>
      </c>
      <c r="G41" s="6" t="n">
        <f aca="false">D41*$E$109</f>
        <v>24.712253803</v>
      </c>
      <c r="H41" s="7" t="n">
        <f aca="false">AVERAGE(G41:G43)</f>
        <v>23.9855494227667</v>
      </c>
      <c r="I41" s="6" t="n">
        <f aca="false">D41*$E$108</f>
        <v>37.101794019</v>
      </c>
      <c r="J41" s="7" t="n">
        <f aca="false">AVERAGE(I41:I43)</f>
        <v>36.0107548753</v>
      </c>
      <c r="K41" s="8"/>
      <c r="L41" s="8"/>
      <c r="M41" s="8"/>
      <c r="N41" s="8"/>
      <c r="O41" s="8"/>
      <c r="P41" s="8"/>
      <c r="Q41" s="8"/>
      <c r="R41" s="8"/>
    </row>
    <row r="42" customFormat="false" ht="12.8" hidden="false" customHeight="false" outlineLevel="0" collapsed="false">
      <c r="B42" s="5"/>
      <c r="C42" s="9" t="s">
        <v>19</v>
      </c>
      <c r="D42" s="9" t="n">
        <v>0.748731</v>
      </c>
      <c r="E42" s="9" t="n">
        <f aca="false">D42*$E$107</f>
        <v>55.5583858854</v>
      </c>
      <c r="F42" s="7"/>
      <c r="G42" s="9" t="n">
        <f aca="false">D42*$E$109</f>
        <v>22.1779363317</v>
      </c>
      <c r="H42" s="7"/>
      <c r="I42" s="9" t="n">
        <f aca="false">D42*$E$108</f>
        <v>33.2968911741</v>
      </c>
      <c r="J42" s="7"/>
      <c r="K42" s="8"/>
      <c r="L42" s="8"/>
      <c r="M42" s="8"/>
      <c r="N42" s="8"/>
      <c r="O42" s="8"/>
      <c r="P42" s="8"/>
      <c r="Q42" s="8"/>
      <c r="R42" s="8"/>
    </row>
    <row r="43" customFormat="false" ht="12.8" hidden="false" customHeight="false" outlineLevel="0" collapsed="false">
      <c r="B43" s="5"/>
      <c r="C43" s="11" t="s">
        <v>20</v>
      </c>
      <c r="D43" s="11" t="n">
        <v>0.846248</v>
      </c>
      <c r="E43" s="11" t="n">
        <f aca="false">D43*$E$107</f>
        <v>62.7944788432</v>
      </c>
      <c r="F43" s="7"/>
      <c r="G43" s="11" t="n">
        <f aca="false">D43*$E$109</f>
        <v>25.0664581336</v>
      </c>
      <c r="H43" s="7"/>
      <c r="I43" s="11" t="n">
        <f aca="false">D43*$E$108</f>
        <v>37.6335794328</v>
      </c>
      <c r="J43" s="7"/>
      <c r="K43" s="8"/>
      <c r="L43" s="8"/>
      <c r="M43" s="8"/>
      <c r="N43" s="8"/>
      <c r="O43" s="8"/>
      <c r="P43" s="8"/>
      <c r="Q43" s="8"/>
      <c r="R43" s="8"/>
    </row>
    <row r="44" customFormat="false" ht="12.8" hidden="false" customHeight="false" outlineLevel="0" collapsed="false">
      <c r="B44" s="5" t="n">
        <v>14</v>
      </c>
      <c r="C44" s="6" t="s">
        <v>18</v>
      </c>
      <c r="D44" s="6" t="n">
        <v>0.84968</v>
      </c>
      <c r="E44" s="6" t="n">
        <f aca="false">D44*$E$107</f>
        <v>63.049144912</v>
      </c>
      <c r="F44" s="7" t="n">
        <f aca="false">AVERAGE(E44:E46)</f>
        <v>61.2025685685333</v>
      </c>
      <c r="G44" s="6" t="n">
        <f aca="false">D44*$E$109</f>
        <v>25.168116376</v>
      </c>
      <c r="H44" s="7" t="n">
        <f aca="false">AVERAGE(G44:G46)</f>
        <v>24.4309953829333</v>
      </c>
      <c r="I44" s="6" t="n">
        <f aca="false">D44*$E$108</f>
        <v>37.786204248</v>
      </c>
      <c r="J44" s="7" t="n">
        <f aca="false">AVERAGE(I44:I46)</f>
        <v>36.6795261008</v>
      </c>
      <c r="K44" s="8"/>
      <c r="L44" s="8"/>
      <c r="M44" s="8"/>
      <c r="N44" s="8"/>
      <c r="O44" s="8"/>
      <c r="P44" s="8"/>
      <c r="Q44" s="8"/>
      <c r="R44" s="8"/>
    </row>
    <row r="45" customFormat="false" ht="12.8" hidden="false" customHeight="false" outlineLevel="0" collapsed="false">
      <c r="B45" s="5"/>
      <c r="C45" s="9" t="s">
        <v>19</v>
      </c>
      <c r="D45" s="9" t="n">
        <v>0.815657</v>
      </c>
      <c r="E45" s="9" t="n">
        <f aca="false">D45*$E$107</f>
        <v>60.5245226338</v>
      </c>
      <c r="F45" s="7"/>
      <c r="G45" s="9" t="n">
        <f aca="false">D45*$E$109</f>
        <v>24.1603312999</v>
      </c>
      <c r="H45" s="7"/>
      <c r="I45" s="9" t="n">
        <f aca="false">D45*$E$108</f>
        <v>36.2731640127</v>
      </c>
      <c r="J45" s="7"/>
      <c r="K45" s="8"/>
      <c r="L45" s="8"/>
      <c r="M45" s="8"/>
      <c r="N45" s="8"/>
      <c r="O45" s="8"/>
      <c r="P45" s="8"/>
      <c r="Q45" s="8"/>
      <c r="R45" s="8"/>
    </row>
    <row r="46" customFormat="false" ht="12.8" hidden="false" customHeight="false" outlineLevel="0" collapsed="false">
      <c r="B46" s="5"/>
      <c r="C46" s="11" t="s">
        <v>20</v>
      </c>
      <c r="D46" s="11" t="n">
        <v>0.809047</v>
      </c>
      <c r="E46" s="11" t="n">
        <f aca="false">D46*$E$107</f>
        <v>60.0340381598</v>
      </c>
      <c r="F46" s="7"/>
      <c r="G46" s="11" t="n">
        <f aca="false">D46*$E$109</f>
        <v>23.9645384729</v>
      </c>
      <c r="H46" s="7"/>
      <c r="I46" s="11" t="n">
        <f aca="false">D46*$E$108</f>
        <v>35.9792100417</v>
      </c>
      <c r="J46" s="7"/>
      <c r="K46" s="8"/>
      <c r="L46" s="8"/>
      <c r="M46" s="8"/>
      <c r="N46" s="8"/>
      <c r="O46" s="8"/>
      <c r="P46" s="8"/>
      <c r="Q46" s="8"/>
      <c r="R46" s="8"/>
    </row>
    <row r="47" customFormat="false" ht="12.8" hidden="false" customHeight="false" outlineLevel="0" collapsed="false">
      <c r="B47" s="5" t="n">
        <v>15</v>
      </c>
      <c r="C47" s="6" t="s">
        <v>18</v>
      </c>
      <c r="D47" s="6" t="n">
        <v>0.785726</v>
      </c>
      <c r="E47" s="6" t="n">
        <f aca="false">D47*$E$107</f>
        <v>58.3035406684</v>
      </c>
      <c r="F47" s="7" t="n">
        <f aca="false">AVERAGE(E47:E49)</f>
        <v>58.1253288360667</v>
      </c>
      <c r="G47" s="6" t="n">
        <f aca="false">D47*$E$109</f>
        <v>23.2737541282</v>
      </c>
      <c r="H47" s="7" t="n">
        <f aca="false">AVERAGE(G47:G49)</f>
        <v>23.2026150803667</v>
      </c>
      <c r="I47" s="6" t="n">
        <f aca="false">D47*$E$108</f>
        <v>34.9420995186</v>
      </c>
      <c r="J47" s="7" t="n">
        <f aca="false">AVERAGE(I47:I49)</f>
        <v>34.8352947601</v>
      </c>
      <c r="K47" s="8"/>
      <c r="L47" s="8"/>
      <c r="M47" s="8"/>
      <c r="N47" s="8"/>
      <c r="O47" s="8"/>
      <c r="P47" s="8"/>
      <c r="Q47" s="8"/>
      <c r="R47" s="8"/>
    </row>
    <row r="48" customFormat="false" ht="12.8" hidden="false" customHeight="false" outlineLevel="0" collapsed="false">
      <c r="B48" s="5"/>
      <c r="C48" s="9" t="s">
        <v>19</v>
      </c>
      <c r="D48" s="9" t="n">
        <v>0.783867</v>
      </c>
      <c r="E48" s="9" t="n">
        <f aca="false">D48*$E$107</f>
        <v>58.1655965478</v>
      </c>
      <c r="F48" s="7"/>
      <c r="G48" s="9" t="n">
        <f aca="false">D48*$E$109</f>
        <v>23.2186892469</v>
      </c>
      <c r="H48" s="7"/>
      <c r="I48" s="9" t="n">
        <f aca="false">D48*$E$108</f>
        <v>34.8594277437</v>
      </c>
      <c r="J48" s="7"/>
      <c r="K48" s="8"/>
      <c r="L48" s="8"/>
      <c r="M48" s="8"/>
      <c r="N48" s="8"/>
      <c r="O48" s="8"/>
      <c r="P48" s="8"/>
      <c r="Q48" s="8"/>
      <c r="R48" s="8"/>
    </row>
    <row r="49" customFormat="false" ht="12.8" hidden="false" customHeight="false" outlineLevel="0" collapsed="false">
      <c r="B49" s="5"/>
      <c r="C49" s="11" t="s">
        <v>20</v>
      </c>
      <c r="D49" s="11" t="n">
        <v>0.78038</v>
      </c>
      <c r="E49" s="11" t="n">
        <f aca="false">D49*$E$107</f>
        <v>57.906849292</v>
      </c>
      <c r="F49" s="7"/>
      <c r="G49" s="11" t="n">
        <f aca="false">D49*$E$109</f>
        <v>23.115401866</v>
      </c>
      <c r="H49" s="7"/>
      <c r="I49" s="11" t="n">
        <f aca="false">D49*$E$108</f>
        <v>34.704357018</v>
      </c>
      <c r="J49" s="7"/>
      <c r="K49" s="8"/>
      <c r="L49" s="8"/>
      <c r="M49" s="8"/>
      <c r="N49" s="8"/>
      <c r="O49" s="8"/>
      <c r="P49" s="8"/>
      <c r="Q49" s="8"/>
      <c r="R49" s="8"/>
    </row>
    <row r="50" customFormat="false" ht="12.8" hidden="false" customHeight="false" outlineLevel="0" collapsed="false">
      <c r="B50" s="5" t="n">
        <v>16</v>
      </c>
      <c r="C50" s="6" t="s">
        <v>18</v>
      </c>
      <c r="D50" s="6" t="n">
        <v>0.828348</v>
      </c>
      <c r="E50" s="6" t="n">
        <f aca="false">D50*$E$107</f>
        <v>61.4662379832</v>
      </c>
      <c r="F50" s="7" t="n">
        <f aca="false">AVERAGE(E50:E52)</f>
        <v>59.9918658941333</v>
      </c>
      <c r="G50" s="6" t="n">
        <f aca="false">D50*$E$109</f>
        <v>24.5362476036</v>
      </c>
      <c r="H50" s="7" t="n">
        <f aca="false">AVERAGE(G50:G52)</f>
        <v>23.9477040417333</v>
      </c>
      <c r="I50" s="6" t="n">
        <f aca="false">D50*$E$108</f>
        <v>36.8375467428</v>
      </c>
      <c r="J50" s="7" t="n">
        <f aca="false">AVERAGE(I50:I52)</f>
        <v>35.9539356332</v>
      </c>
      <c r="K50" s="8"/>
      <c r="L50" s="8"/>
      <c r="M50" s="8"/>
      <c r="N50" s="8"/>
      <c r="O50" s="8"/>
      <c r="P50" s="8"/>
      <c r="Q50" s="8"/>
      <c r="R50" s="8"/>
    </row>
    <row r="51" customFormat="false" ht="12.8" hidden="false" customHeight="false" outlineLevel="0" collapsed="false">
      <c r="B51" s="5"/>
      <c r="C51" s="9" t="s">
        <v>19</v>
      </c>
      <c r="D51" s="9" t="n">
        <v>0.770869</v>
      </c>
      <c r="E51" s="9" t="n">
        <f aca="false">D51*$E$107</f>
        <v>57.2011007546</v>
      </c>
      <c r="F51" s="7"/>
      <c r="G51" s="9" t="n">
        <f aca="false">D51*$E$109</f>
        <v>22.8336793883</v>
      </c>
      <c r="H51" s="7"/>
      <c r="I51" s="9" t="n">
        <f aca="false">D51*$E$108</f>
        <v>34.2813923859</v>
      </c>
      <c r="J51" s="7"/>
      <c r="K51" s="8"/>
      <c r="L51" s="8"/>
      <c r="M51" s="8"/>
      <c r="N51" s="8"/>
      <c r="O51" s="8"/>
      <c r="P51" s="8"/>
      <c r="Q51" s="8"/>
      <c r="R51" s="8"/>
    </row>
    <row r="52" customFormat="false" ht="12.8" hidden="false" customHeight="false" outlineLevel="0" collapsed="false">
      <c r="B52" s="5"/>
      <c r="C52" s="11" t="s">
        <v>20</v>
      </c>
      <c r="D52" s="11" t="n">
        <v>0.826219</v>
      </c>
      <c r="E52" s="11" t="n">
        <f aca="false">D52*$E$107</f>
        <v>61.3082589446</v>
      </c>
      <c r="F52" s="7"/>
      <c r="G52" s="11" t="n">
        <f aca="false">D52*$E$109</f>
        <v>24.4731851333</v>
      </c>
      <c r="H52" s="7"/>
      <c r="I52" s="11" t="n">
        <f aca="false">D52*$E$108</f>
        <v>36.7428677709</v>
      </c>
      <c r="J52" s="7"/>
      <c r="K52" s="8"/>
      <c r="L52" s="8"/>
      <c r="M52" s="8"/>
      <c r="N52" s="8"/>
      <c r="O52" s="8"/>
      <c r="P52" s="8"/>
      <c r="Q52" s="8"/>
      <c r="R52" s="8"/>
    </row>
    <row r="53" customFormat="false" ht="12.8" hidden="false" customHeight="false" outlineLevel="0" collapsed="false">
      <c r="B53" s="5" t="n">
        <v>17</v>
      </c>
      <c r="C53" s="12" t="s">
        <v>21</v>
      </c>
      <c r="D53" s="12"/>
      <c r="E53" s="12" t="n">
        <f aca="false">D53*$E$107</f>
        <v>0</v>
      </c>
      <c r="F53" s="12"/>
      <c r="G53" s="12" t="n">
        <f aca="false">D53*$E$109</f>
        <v>0</v>
      </c>
      <c r="H53" s="12" t="n">
        <f aca="false">AVERAGE(G53:G55)</f>
        <v>0</v>
      </c>
      <c r="I53" s="12" t="n">
        <f aca="false">D53*$E$108</f>
        <v>0</v>
      </c>
      <c r="J53" s="12"/>
      <c r="K53" s="8"/>
      <c r="L53" s="8"/>
      <c r="M53" s="8"/>
      <c r="N53" s="8"/>
      <c r="O53" s="8"/>
      <c r="P53" s="8"/>
      <c r="Q53" s="8"/>
      <c r="R53" s="8"/>
    </row>
    <row r="54" customFormat="false" ht="12.8" hidden="false" customHeight="false" outlineLevel="0" collapsed="false">
      <c r="B54" s="5"/>
      <c r="C54" s="12"/>
      <c r="D54" s="12"/>
      <c r="E54" s="12" t="n">
        <f aca="false">D54*$E$107</f>
        <v>0</v>
      </c>
      <c r="F54" s="12"/>
      <c r="G54" s="12" t="n">
        <f aca="false">D54*$E$109</f>
        <v>0</v>
      </c>
      <c r="H54" s="12"/>
      <c r="I54" s="12" t="n">
        <f aca="false">D54*$E$108</f>
        <v>0</v>
      </c>
      <c r="J54" s="12"/>
      <c r="K54" s="8"/>
      <c r="L54" s="8"/>
      <c r="M54" s="8"/>
      <c r="N54" s="8"/>
      <c r="O54" s="8"/>
      <c r="P54" s="8"/>
      <c r="Q54" s="8"/>
      <c r="R54" s="8"/>
    </row>
    <row r="55" customFormat="false" ht="12.8" hidden="false" customHeight="false" outlineLevel="0" collapsed="false">
      <c r="B55" s="5"/>
      <c r="C55" s="12"/>
      <c r="D55" s="12"/>
      <c r="E55" s="12" t="n">
        <f aca="false">D55*$E$107</f>
        <v>0</v>
      </c>
      <c r="F55" s="12"/>
      <c r="G55" s="12" t="n">
        <f aca="false">D55*$E$109</f>
        <v>0</v>
      </c>
      <c r="H55" s="12"/>
      <c r="I55" s="12" t="n">
        <f aca="false">D55*$E$108</f>
        <v>0</v>
      </c>
      <c r="J55" s="12"/>
      <c r="K55" s="8"/>
      <c r="L55" s="8"/>
      <c r="M55" s="8"/>
      <c r="N55" s="8"/>
      <c r="O55" s="8"/>
      <c r="P55" s="8"/>
      <c r="Q55" s="8"/>
      <c r="R55" s="8"/>
    </row>
    <row r="56" customFormat="false" ht="12.8" hidden="false" customHeight="false" outlineLevel="0" collapsed="false">
      <c r="B56" s="5" t="n">
        <v>18</v>
      </c>
      <c r="C56" s="6" t="s">
        <v>18</v>
      </c>
      <c r="D56" s="6" t="n">
        <v>0.83292</v>
      </c>
      <c r="E56" s="6" t="n">
        <f aca="false">D56*$E$107</f>
        <v>61.805495928</v>
      </c>
      <c r="F56" s="7" t="n">
        <f aca="false">AVERAGE(E56:E58)</f>
        <v>58.7059704410667</v>
      </c>
      <c r="G56" s="6" t="n">
        <f aca="false">D56*$E$109</f>
        <v>24.671673444</v>
      </c>
      <c r="H56" s="7" t="n">
        <f aca="false">AVERAGE(G56:G58)</f>
        <v>23.4343970578667</v>
      </c>
      <c r="I56" s="6" t="n">
        <f aca="false">D56*$E$108</f>
        <v>37.040868612</v>
      </c>
      <c r="J56" s="7" t="n">
        <f aca="false">AVERAGE(I56:I58)</f>
        <v>35.1832811176</v>
      </c>
      <c r="K56" s="8"/>
      <c r="L56" s="8"/>
      <c r="M56" s="8"/>
      <c r="N56" s="8"/>
      <c r="O56" s="8"/>
      <c r="P56" s="8"/>
      <c r="Q56" s="8"/>
      <c r="R56" s="8"/>
    </row>
    <row r="57" customFormat="false" ht="12.8" hidden="false" customHeight="false" outlineLevel="0" collapsed="false">
      <c r="B57" s="5"/>
      <c r="C57" s="9" t="s">
        <v>19</v>
      </c>
      <c r="D57" s="9" t="n">
        <v>0.665823</v>
      </c>
      <c r="E57" s="9" t="n">
        <f aca="false">D57*$E$107</f>
        <v>49.4063303982</v>
      </c>
      <c r="F57" s="7"/>
      <c r="G57" s="9" t="n">
        <f aca="false">D57*$E$109</f>
        <v>19.7221433361</v>
      </c>
      <c r="H57" s="7"/>
      <c r="I57" s="9" t="n">
        <f aca="false">D57*$E$108</f>
        <v>29.6098812153</v>
      </c>
      <c r="J57" s="7"/>
      <c r="K57" s="8"/>
      <c r="L57" s="8"/>
      <c r="M57" s="8"/>
      <c r="N57" s="8"/>
      <c r="O57" s="8"/>
      <c r="P57" s="8"/>
      <c r="Q57" s="8"/>
      <c r="R57" s="8"/>
    </row>
    <row r="58" customFormat="false" ht="12.8" hidden="false" customHeight="false" outlineLevel="0" collapsed="false">
      <c r="B58" s="5"/>
      <c r="C58" s="11" t="s">
        <v>20</v>
      </c>
      <c r="D58" s="11" t="n">
        <v>0.874705</v>
      </c>
      <c r="E58" s="11" t="n">
        <f aca="false">D58*$E$107</f>
        <v>64.906084997</v>
      </c>
      <c r="F58" s="7"/>
      <c r="G58" s="11" t="n">
        <f aca="false">D58*$E$109</f>
        <v>25.9093743935</v>
      </c>
      <c r="H58" s="7"/>
      <c r="I58" s="11" t="n">
        <f aca="false">D58*$E$108</f>
        <v>38.8990935255</v>
      </c>
      <c r="J58" s="7"/>
      <c r="K58" s="8"/>
      <c r="L58" s="8"/>
      <c r="M58" s="8"/>
      <c r="N58" s="8"/>
      <c r="O58" s="8"/>
      <c r="P58" s="8"/>
      <c r="Q58" s="8"/>
      <c r="R58" s="8"/>
    </row>
    <row r="59" customFormat="false" ht="12.8" hidden="false" customHeight="false" outlineLevel="0" collapsed="false">
      <c r="B59" s="5" t="n">
        <v>19</v>
      </c>
      <c r="C59" s="12" t="s">
        <v>21</v>
      </c>
      <c r="D59" s="12"/>
      <c r="E59" s="12" t="n">
        <f aca="false">D59*$E$107</f>
        <v>0</v>
      </c>
      <c r="F59" s="12"/>
      <c r="G59" s="12" t="n">
        <f aca="false">D59*$E$109</f>
        <v>0</v>
      </c>
      <c r="H59" s="12" t="n">
        <f aca="false">AVERAGE(G59:G61)</f>
        <v>0</v>
      </c>
      <c r="I59" s="12" t="n">
        <f aca="false">D59*$E$108</f>
        <v>0</v>
      </c>
      <c r="J59" s="12"/>
      <c r="K59" s="8"/>
      <c r="L59" s="8"/>
      <c r="M59" s="8"/>
      <c r="N59" s="8"/>
      <c r="O59" s="8"/>
      <c r="P59" s="8"/>
      <c r="Q59" s="8"/>
      <c r="R59" s="8"/>
    </row>
    <row r="60" customFormat="false" ht="12.8" hidden="false" customHeight="false" outlineLevel="0" collapsed="false">
      <c r="B60" s="5"/>
      <c r="C60" s="12"/>
      <c r="D60" s="12"/>
      <c r="E60" s="12" t="n">
        <f aca="false">D60*$E$107</f>
        <v>0</v>
      </c>
      <c r="F60" s="12"/>
      <c r="G60" s="12" t="n">
        <f aca="false">D60*$E$109</f>
        <v>0</v>
      </c>
      <c r="H60" s="12"/>
      <c r="I60" s="12" t="n">
        <f aca="false">D60*$E$108</f>
        <v>0</v>
      </c>
      <c r="J60" s="12"/>
      <c r="K60" s="8"/>
      <c r="L60" s="8"/>
      <c r="M60" s="8"/>
      <c r="N60" s="8"/>
      <c r="O60" s="8"/>
      <c r="P60" s="8"/>
      <c r="Q60" s="8"/>
      <c r="R60" s="8"/>
    </row>
    <row r="61" customFormat="false" ht="12.8" hidden="false" customHeight="false" outlineLevel="0" collapsed="false">
      <c r="B61" s="5"/>
      <c r="C61" s="12"/>
      <c r="D61" s="12"/>
      <c r="E61" s="12" t="n">
        <f aca="false">D61*$E$107</f>
        <v>0</v>
      </c>
      <c r="F61" s="12"/>
      <c r="G61" s="12" t="n">
        <f aca="false">D61*$E$109</f>
        <v>0</v>
      </c>
      <c r="H61" s="12"/>
      <c r="I61" s="12" t="n">
        <f aca="false">D61*$E$108</f>
        <v>0</v>
      </c>
      <c r="J61" s="12"/>
      <c r="K61" s="8"/>
      <c r="L61" s="8"/>
      <c r="M61" s="8"/>
      <c r="N61" s="8"/>
      <c r="O61" s="8"/>
      <c r="P61" s="8"/>
      <c r="Q61" s="8"/>
      <c r="R61" s="8"/>
    </row>
    <row r="62" customFormat="false" ht="12.8" hidden="false" customHeight="false" outlineLevel="0" collapsed="false">
      <c r="B62" s="5" t="n">
        <v>20</v>
      </c>
      <c r="C62" s="6" t="s">
        <v>18</v>
      </c>
      <c r="D62" s="6" t="n">
        <v>0.789588</v>
      </c>
      <c r="E62" s="6" t="n">
        <f aca="false">D62*$E$107</f>
        <v>58.5901141992</v>
      </c>
      <c r="F62" s="7" t="n">
        <f aca="false">AVERAGE(E62:E64)</f>
        <v>54.5184252344</v>
      </c>
      <c r="G62" s="6" t="n">
        <f aca="false">D62*$E$109</f>
        <v>23.3881492716</v>
      </c>
      <c r="H62" s="7" t="n">
        <f aca="false">AVERAGE(G62:G64)</f>
        <v>21.7628022212</v>
      </c>
      <c r="I62" s="6" t="n">
        <f aca="false">D62*$E$108</f>
        <v>35.1138469068</v>
      </c>
      <c r="J62" s="7" t="n">
        <f aca="false">AVERAGE(I62:I64)</f>
        <v>32.6736287076</v>
      </c>
      <c r="K62" s="8"/>
      <c r="L62" s="8"/>
      <c r="M62" s="8"/>
      <c r="N62" s="8"/>
      <c r="O62" s="8"/>
      <c r="P62" s="8"/>
      <c r="Q62" s="8"/>
      <c r="R62" s="8"/>
    </row>
    <row r="63" customFormat="false" ht="12.8" hidden="false" customHeight="false" outlineLevel="0" collapsed="false">
      <c r="B63" s="5"/>
      <c r="C63" s="9" t="s">
        <v>19</v>
      </c>
      <c r="D63" s="9" t="n">
        <v>0.635154</v>
      </c>
      <c r="E63" s="9" t="n">
        <f aca="false">D63*$E$107</f>
        <v>47.1305863236</v>
      </c>
      <c r="F63" s="7"/>
      <c r="G63" s="9" t="n">
        <f aca="false">D63*$E$109</f>
        <v>18.8137060878</v>
      </c>
      <c r="H63" s="7"/>
      <c r="I63" s="9" t="n">
        <f aca="false">D63*$E$108</f>
        <v>28.2459970494</v>
      </c>
      <c r="J63" s="7"/>
      <c r="K63" s="8"/>
      <c r="L63" s="8"/>
      <c r="M63" s="8"/>
      <c r="N63" s="8"/>
      <c r="O63" s="8"/>
      <c r="P63" s="8"/>
      <c r="Q63" s="8"/>
      <c r="R63" s="8"/>
    </row>
    <row r="64" customFormat="false" ht="12.8" hidden="false" customHeight="false" outlineLevel="0" collapsed="false">
      <c r="B64" s="5"/>
      <c r="C64" s="11" t="s">
        <v>20</v>
      </c>
      <c r="D64" s="11" t="n">
        <v>0.779406</v>
      </c>
      <c r="E64" s="11" t="n">
        <f aca="false">D64*$E$107</f>
        <v>57.8345751804</v>
      </c>
      <c r="F64" s="7"/>
      <c r="G64" s="11" t="n">
        <f aca="false">D64*$E$109</f>
        <v>23.0865513042</v>
      </c>
      <c r="H64" s="7"/>
      <c r="I64" s="11" t="n">
        <f aca="false">D64*$E$108</f>
        <v>34.6610421666</v>
      </c>
      <c r="J64" s="7"/>
      <c r="K64" s="8"/>
      <c r="L64" s="8"/>
      <c r="M64" s="8"/>
      <c r="N64" s="8"/>
      <c r="O64" s="8"/>
      <c r="P64" s="8"/>
      <c r="Q64" s="8"/>
      <c r="R64" s="8"/>
    </row>
    <row r="65" customFormat="false" ht="12.8" hidden="false" customHeight="false" outlineLevel="0" collapsed="false">
      <c r="B65" s="5" t="n">
        <v>21</v>
      </c>
      <c r="C65" s="6" t="s">
        <v>18</v>
      </c>
      <c r="D65" s="6" t="n">
        <v>0.80828</v>
      </c>
      <c r="E65" s="6" t="n">
        <f aca="false">D65*$E$107</f>
        <v>59.977124152</v>
      </c>
      <c r="F65" s="7" t="n">
        <f aca="false">AVERAGE(E65:E67)</f>
        <v>56.8170981596</v>
      </c>
      <c r="G65" s="6" t="n">
        <f aca="false">D65*$E$109</f>
        <v>23.941819396</v>
      </c>
      <c r="H65" s="7" t="n">
        <f aca="false">AVERAGE(G65:G67)</f>
        <v>22.6803922658</v>
      </c>
      <c r="I65" s="6" t="n">
        <f aca="false">D65*$E$108</f>
        <v>35.945100708</v>
      </c>
      <c r="J65" s="7" t="n">
        <f aca="false">AVERAGE(I65:I67)</f>
        <v>34.0512544434</v>
      </c>
      <c r="K65" s="8"/>
      <c r="L65" s="8"/>
      <c r="M65" s="8"/>
      <c r="N65" s="8"/>
      <c r="O65" s="8"/>
      <c r="P65" s="8"/>
      <c r="Q65" s="8"/>
      <c r="R65" s="8"/>
    </row>
    <row r="66" customFormat="false" ht="12.8" hidden="false" customHeight="false" outlineLevel="0" collapsed="false">
      <c r="B66" s="5"/>
      <c r="C66" s="9" t="s">
        <v>19</v>
      </c>
      <c r="D66" s="9" t="n">
        <v>0.649376</v>
      </c>
      <c r="E66" s="9" t="n">
        <f aca="false">D66*$E$107</f>
        <v>48.1859070784</v>
      </c>
      <c r="F66" s="7"/>
      <c r="G66" s="9" t="n">
        <f aca="false">D66*$E$109</f>
        <v>19.2349716832</v>
      </c>
      <c r="H66" s="7"/>
      <c r="I66" s="9" t="n">
        <f aca="false">D66*$E$108</f>
        <v>28.8784650336</v>
      </c>
      <c r="J66" s="7"/>
      <c r="K66" s="8"/>
      <c r="L66" s="8"/>
      <c r="M66" s="8"/>
      <c r="N66" s="8"/>
      <c r="O66" s="8"/>
      <c r="P66" s="8"/>
      <c r="Q66" s="8"/>
      <c r="R66" s="8"/>
    </row>
    <row r="67" customFormat="false" ht="12.8" hidden="false" customHeight="false" outlineLevel="0" collapsed="false">
      <c r="B67" s="5"/>
      <c r="C67" s="11" t="s">
        <v>20</v>
      </c>
      <c r="D67" s="11" t="n">
        <v>0.839426</v>
      </c>
      <c r="E67" s="11" t="n">
        <f aca="false">D67*$E$107</f>
        <v>62.2882632484</v>
      </c>
      <c r="F67" s="7"/>
      <c r="G67" s="11" t="n">
        <f aca="false">D67*$E$109</f>
        <v>24.8643857182</v>
      </c>
      <c r="H67" s="7"/>
      <c r="I67" s="11" t="n">
        <f aca="false">D67*$E$108</f>
        <v>37.3301975886</v>
      </c>
      <c r="J67" s="7"/>
      <c r="K67" s="8"/>
      <c r="L67" s="8"/>
      <c r="M67" s="8"/>
      <c r="N67" s="8"/>
      <c r="O67" s="8"/>
      <c r="P67" s="8"/>
      <c r="Q67" s="8"/>
      <c r="R67" s="8"/>
    </row>
    <row r="68" customFormat="false" ht="12.8" hidden="false" customHeight="false" outlineLevel="0" collapsed="false">
      <c r="B68" s="5" t="n">
        <v>22</v>
      </c>
      <c r="C68" s="6" t="s">
        <v>18</v>
      </c>
      <c r="D68" s="6" t="n">
        <v>0.7674</v>
      </c>
      <c r="E68" s="6" t="n">
        <f aca="false">D68*$E$107</f>
        <v>56.94368916</v>
      </c>
      <c r="F68" s="7" t="n">
        <f aca="false">AVERAGE(E68:E70)</f>
        <v>55.3975129142</v>
      </c>
      <c r="G68" s="6" t="n">
        <f aca="false">D68*$E$109</f>
        <v>22.73092518</v>
      </c>
      <c r="H68" s="7" t="n">
        <f aca="false">AVERAGE(G68:G70)</f>
        <v>22.1137186541</v>
      </c>
      <c r="I68" s="6" t="n">
        <f aca="false">D68*$E$108</f>
        <v>34.12712214</v>
      </c>
      <c r="J68" s="7" t="n">
        <f aca="false">AVERAGE(I68:I70)</f>
        <v>33.2004778293</v>
      </c>
      <c r="K68" s="8"/>
      <c r="L68" s="8"/>
      <c r="M68" s="8"/>
      <c r="N68" s="8"/>
      <c r="O68" s="8"/>
      <c r="P68" s="8"/>
      <c r="Q68" s="8"/>
      <c r="R68" s="8"/>
    </row>
    <row r="69" customFormat="false" ht="12.8" hidden="false" customHeight="false" outlineLevel="0" collapsed="false">
      <c r="B69" s="5"/>
      <c r="C69" s="9" t="s">
        <v>19</v>
      </c>
      <c r="D69" s="9" t="n">
        <v>0.653102</v>
      </c>
      <c r="E69" s="9" t="n">
        <f aca="false">D69*$E$107</f>
        <v>48.4623889468</v>
      </c>
      <c r="F69" s="7"/>
      <c r="G69" s="9" t="n">
        <f aca="false">D69*$E$109</f>
        <v>19.3453384114</v>
      </c>
      <c r="H69" s="7"/>
      <c r="I69" s="9" t="n">
        <f aca="false">D69*$E$108</f>
        <v>29.0441643522</v>
      </c>
      <c r="J69" s="7"/>
      <c r="K69" s="8"/>
      <c r="L69" s="8"/>
      <c r="M69" s="8"/>
      <c r="N69" s="8"/>
      <c r="O69" s="8"/>
      <c r="P69" s="8"/>
      <c r="Q69" s="8"/>
      <c r="R69" s="8"/>
    </row>
    <row r="70" customFormat="false" ht="12.8" hidden="false" customHeight="false" outlineLevel="0" collapsed="false">
      <c r="B70" s="5"/>
      <c r="C70" s="11" t="s">
        <v>20</v>
      </c>
      <c r="D70" s="11" t="n">
        <v>0.819187</v>
      </c>
      <c r="E70" s="11" t="n">
        <f aca="false">D70*$E$107</f>
        <v>60.7864606358</v>
      </c>
      <c r="F70" s="7"/>
      <c r="G70" s="11" t="n">
        <f aca="false">D70*$E$109</f>
        <v>24.2648923709</v>
      </c>
      <c r="H70" s="7"/>
      <c r="I70" s="11" t="n">
        <f aca="false">D70*$E$108</f>
        <v>36.4301469957</v>
      </c>
      <c r="J70" s="7"/>
      <c r="K70" s="8"/>
      <c r="L70" s="8"/>
      <c r="M70" s="8"/>
      <c r="N70" s="8"/>
      <c r="O70" s="8"/>
      <c r="P70" s="8"/>
      <c r="Q70" s="8"/>
      <c r="R70" s="8"/>
    </row>
    <row r="71" customFormat="false" ht="12.8" hidden="false" customHeight="false" outlineLevel="0" collapsed="false">
      <c r="B71" s="5" t="n">
        <v>23</v>
      </c>
      <c r="C71" s="6" t="s">
        <v>18</v>
      </c>
      <c r="D71" s="6" t="n">
        <v>0.786737</v>
      </c>
      <c r="E71" s="6" t="n">
        <f aca="false">D71*$E$107</f>
        <v>58.3785603058</v>
      </c>
      <c r="F71" s="7" t="n">
        <f aca="false">AVERAGE(E71:E73)</f>
        <v>53.2410879068</v>
      </c>
      <c r="G71" s="6" t="n">
        <f aca="false">D71*$E$109</f>
        <v>23.3037006559</v>
      </c>
      <c r="H71" s="7" t="n">
        <f aca="false">AVERAGE(G71:G73)</f>
        <v>21.2529114914</v>
      </c>
      <c r="I71" s="6" t="n">
        <f aca="false">D71*$E$108</f>
        <v>34.9870598007</v>
      </c>
      <c r="J71" s="7" t="n">
        <f aca="false">AVERAGE(I71:I73)</f>
        <v>31.9081031922</v>
      </c>
      <c r="K71" s="8"/>
      <c r="L71" s="8"/>
      <c r="M71" s="8"/>
      <c r="N71" s="8"/>
      <c r="O71" s="8"/>
      <c r="P71" s="8"/>
      <c r="Q71" s="8"/>
      <c r="R71" s="8"/>
    </row>
    <row r="72" customFormat="false" ht="12.8" hidden="false" customHeight="false" outlineLevel="0" collapsed="false">
      <c r="B72" s="5"/>
      <c r="C72" s="9" t="s">
        <v>19</v>
      </c>
      <c r="D72" s="9" t="n">
        <v>0.58598</v>
      </c>
      <c r="E72" s="9" t="n">
        <f aca="false">D72*$E$107</f>
        <v>43.481708332</v>
      </c>
      <c r="F72" s="7"/>
      <c r="G72" s="9" t="n">
        <f aca="false">D72*$E$109</f>
        <v>17.357137786</v>
      </c>
      <c r="H72" s="7"/>
      <c r="I72" s="9" t="n">
        <f aca="false">D72*$E$108</f>
        <v>26.059175178</v>
      </c>
      <c r="J72" s="7"/>
      <c r="K72" s="8"/>
      <c r="L72" s="8"/>
      <c r="M72" s="8"/>
      <c r="N72" s="8"/>
      <c r="O72" s="8"/>
      <c r="P72" s="8"/>
      <c r="Q72" s="8"/>
      <c r="R72" s="8"/>
    </row>
    <row r="73" customFormat="false" ht="12.8" hidden="false" customHeight="false" outlineLevel="0" collapsed="false">
      <c r="B73" s="5"/>
      <c r="C73" s="11" t="s">
        <v>20</v>
      </c>
      <c r="D73" s="11" t="n">
        <v>0.779789</v>
      </c>
      <c r="E73" s="11" t="n">
        <f aca="false">D73*$E$107</f>
        <v>57.8629950826</v>
      </c>
      <c r="F73" s="7"/>
      <c r="G73" s="11" t="n">
        <f aca="false">D73*$E$109</f>
        <v>23.0978960323</v>
      </c>
      <c r="H73" s="7"/>
      <c r="I73" s="11" t="n">
        <f aca="false">D73*$E$108</f>
        <v>34.6780745979</v>
      </c>
      <c r="J73" s="7"/>
      <c r="K73" s="8"/>
      <c r="L73" s="8"/>
      <c r="M73" s="8"/>
      <c r="N73" s="8"/>
      <c r="O73" s="8"/>
      <c r="P73" s="8"/>
      <c r="Q73" s="8"/>
      <c r="R73" s="8"/>
    </row>
    <row r="74" customFormat="false" ht="12.8" hidden="false" customHeight="false" outlineLevel="0" collapsed="false">
      <c r="B74" s="5" t="n">
        <v>24</v>
      </c>
      <c r="C74" s="6" t="s">
        <v>18</v>
      </c>
      <c r="D74" s="6" t="n">
        <v>0.789915</v>
      </c>
      <c r="E74" s="6" t="n">
        <f aca="false">D74*$E$107</f>
        <v>58.614378711</v>
      </c>
      <c r="F74" s="7" t="n">
        <f aca="false">AVERAGE(E74:E76)</f>
        <v>54.0079058424</v>
      </c>
      <c r="G74" s="6" t="n">
        <f aca="false">D74*$E$109</f>
        <v>23.3978352405</v>
      </c>
      <c r="H74" s="7" t="n">
        <f aca="false">AVERAGE(G74:G76)</f>
        <v>21.5590118052</v>
      </c>
      <c r="I74" s="6" t="n">
        <f aca="false">D74*$E$108</f>
        <v>35.1283889565</v>
      </c>
      <c r="J74" s="7" t="n">
        <f aca="false">AVERAGE(I74:I76)</f>
        <v>32.3676675396</v>
      </c>
      <c r="K74" s="8"/>
      <c r="L74" s="8"/>
      <c r="M74" s="8"/>
      <c r="N74" s="8"/>
      <c r="O74" s="8"/>
      <c r="P74" s="8"/>
      <c r="Q74" s="8"/>
      <c r="R74" s="8"/>
    </row>
    <row r="75" customFormat="false" ht="12.8" hidden="false" customHeight="false" outlineLevel="0" collapsed="false">
      <c r="B75" s="5"/>
      <c r="C75" s="9" t="s">
        <v>19</v>
      </c>
      <c r="D75" s="9" t="n">
        <v>0.630155</v>
      </c>
      <c r="E75" s="9" t="n">
        <f aca="false">D75*$E$107</f>
        <v>46.759643527</v>
      </c>
      <c r="F75" s="7"/>
      <c r="G75" s="9" t="n">
        <f aca="false">D75*$E$109</f>
        <v>18.6656322085</v>
      </c>
      <c r="H75" s="7"/>
      <c r="I75" s="9" t="n">
        <f aca="false">D75*$E$108</f>
        <v>28.0236860205</v>
      </c>
      <c r="J75" s="7"/>
      <c r="K75" s="8"/>
      <c r="L75" s="8"/>
      <c r="M75" s="8"/>
      <c r="N75" s="8"/>
      <c r="O75" s="8"/>
      <c r="P75" s="8"/>
      <c r="Q75" s="8"/>
      <c r="R75" s="8"/>
    </row>
    <row r="76" customFormat="false" ht="12.8" hidden="false" customHeight="false" outlineLevel="0" collapsed="false">
      <c r="B76" s="5"/>
      <c r="C76" s="11" t="s">
        <v>20</v>
      </c>
      <c r="D76" s="11" t="n">
        <v>0.763438</v>
      </c>
      <c r="E76" s="11" t="n">
        <f aca="false">D76*$E$107</f>
        <v>56.6496952892</v>
      </c>
      <c r="F76" s="7"/>
      <c r="G76" s="11" t="n">
        <f aca="false">D76*$E$109</f>
        <v>22.6135679666</v>
      </c>
      <c r="H76" s="7"/>
      <c r="I76" s="11" t="n">
        <f aca="false">D76*$E$108</f>
        <v>33.9509276418</v>
      </c>
      <c r="J76" s="7"/>
      <c r="K76" s="8"/>
      <c r="L76" s="8"/>
      <c r="M76" s="8"/>
      <c r="N76" s="8"/>
      <c r="O76" s="8"/>
      <c r="P76" s="8"/>
      <c r="Q76" s="8"/>
      <c r="R76" s="8"/>
    </row>
    <row r="77" customFormat="false" ht="12.8" hidden="false" customHeight="false" outlineLevel="0" collapsed="false">
      <c r="B77" s="5" t="n">
        <v>25</v>
      </c>
      <c r="C77" s="6" t="s">
        <v>18</v>
      </c>
      <c r="D77" s="6" t="n">
        <v>0.826616</v>
      </c>
      <c r="E77" s="6" t="n">
        <f aca="false">D77*$E$107</f>
        <v>61.3377176944</v>
      </c>
      <c r="F77" s="7" t="n">
        <f aca="false">AVERAGE(E77:E79)</f>
        <v>53.2886275517333</v>
      </c>
      <c r="G77" s="6" t="n">
        <f aca="false">D77*$E$109</f>
        <v>24.4849445512</v>
      </c>
      <c r="H77" s="7" t="n">
        <f aca="false">AVERAGE(G77:G79)</f>
        <v>21.2718884865333</v>
      </c>
      <c r="I77" s="6" t="n">
        <f aca="false">D77*$E$108</f>
        <v>36.7605227976</v>
      </c>
      <c r="J77" s="7" t="n">
        <f aca="false">AVERAGE(I77:I79)</f>
        <v>31.9365943436</v>
      </c>
      <c r="K77" s="8"/>
      <c r="L77" s="8"/>
      <c r="M77" s="8"/>
      <c r="N77" s="8"/>
      <c r="O77" s="8"/>
      <c r="P77" s="8"/>
      <c r="Q77" s="8"/>
      <c r="R77" s="8"/>
    </row>
    <row r="78" customFormat="false" ht="12.8" hidden="false" customHeight="false" outlineLevel="0" collapsed="false">
      <c r="B78" s="5"/>
      <c r="C78" s="9" t="s">
        <v>19</v>
      </c>
      <c r="D78" s="9" t="n">
        <v>0.577895</v>
      </c>
      <c r="E78" s="9" t="n">
        <f aca="false">D78*$E$107</f>
        <v>42.881773843</v>
      </c>
      <c r="F78" s="7"/>
      <c r="G78" s="9" t="n">
        <f aca="false">D78*$E$109</f>
        <v>17.1176544265</v>
      </c>
      <c r="H78" s="7"/>
      <c r="I78" s="9" t="n">
        <f aca="false">D78*$E$108</f>
        <v>25.6996263345</v>
      </c>
      <c r="J78" s="7"/>
      <c r="K78" s="8"/>
      <c r="L78" s="8"/>
      <c r="M78" s="8"/>
      <c r="N78" s="8"/>
      <c r="O78" s="8"/>
      <c r="P78" s="8"/>
      <c r="Q78" s="8"/>
      <c r="R78" s="8"/>
    </row>
    <row r="79" customFormat="false" ht="12.8" hidden="false" customHeight="false" outlineLevel="0" collapsed="false">
      <c r="B79" s="5"/>
      <c r="C79" s="11" t="s">
        <v>20</v>
      </c>
      <c r="D79" s="11" t="n">
        <v>0.749917</v>
      </c>
      <c r="E79" s="11" t="n">
        <f aca="false">D79*$E$107</f>
        <v>55.6463911178</v>
      </c>
      <c r="F79" s="7"/>
      <c r="G79" s="11" t="n">
        <f aca="false">D79*$E$109</f>
        <v>22.2130664819</v>
      </c>
      <c r="H79" s="7"/>
      <c r="I79" s="11" t="n">
        <f aca="false">D79*$E$108</f>
        <v>33.3496338987</v>
      </c>
      <c r="J79" s="7"/>
      <c r="K79" s="8"/>
      <c r="L79" s="8"/>
      <c r="M79" s="8"/>
      <c r="N79" s="8"/>
      <c r="O79" s="8"/>
      <c r="P79" s="8"/>
      <c r="Q79" s="8"/>
      <c r="R79" s="8"/>
    </row>
    <row r="80" customFormat="false" ht="12.8" hidden="false" customHeight="false" outlineLevel="0" collapsed="false">
      <c r="B80" s="5" t="n">
        <v>26</v>
      </c>
      <c r="C80" s="6" t="s">
        <v>18</v>
      </c>
      <c r="D80" s="6" t="n">
        <v>0.768383</v>
      </c>
      <c r="E80" s="6" t="n">
        <f aca="false">D80*$E$107</f>
        <v>57.0166311022</v>
      </c>
      <c r="F80" s="7" t="n">
        <f aca="false">AVERAGE(E80:E82)</f>
        <v>52.3629648712</v>
      </c>
      <c r="G80" s="6" t="n">
        <f aca="false">D80*$E$109</f>
        <v>22.7600423281</v>
      </c>
      <c r="H80" s="7" t="n">
        <f aca="false">AVERAGE(G80:G82)</f>
        <v>20.9023801276</v>
      </c>
      <c r="I80" s="6" t="n">
        <f aca="false">D80*$E$108</f>
        <v>34.1708372313</v>
      </c>
      <c r="J80" s="7" t="n">
        <f aca="false">AVERAGE(I80:I82)</f>
        <v>31.3818321948</v>
      </c>
      <c r="K80" s="8"/>
      <c r="L80" s="8"/>
      <c r="M80" s="8"/>
      <c r="N80" s="8"/>
      <c r="O80" s="8"/>
      <c r="P80" s="8"/>
      <c r="Q80" s="8"/>
      <c r="R80" s="8"/>
    </row>
    <row r="81" customFormat="false" ht="12.8" hidden="false" customHeight="false" outlineLevel="0" collapsed="false">
      <c r="B81" s="5"/>
      <c r="C81" s="9" t="s">
        <v>19</v>
      </c>
      <c r="D81" s="9" t="n">
        <v>0.569326</v>
      </c>
      <c r="E81" s="9" t="n">
        <f aca="false">D81*$E$107</f>
        <v>42.2459249084</v>
      </c>
      <c r="F81" s="7"/>
      <c r="G81" s="9" t="n">
        <f aca="false">D81*$E$109</f>
        <v>16.8638346482</v>
      </c>
      <c r="H81" s="7"/>
      <c r="I81" s="9" t="n">
        <f aca="false">D81*$E$108</f>
        <v>25.3185534786</v>
      </c>
      <c r="J81" s="7"/>
      <c r="K81" s="8"/>
      <c r="L81" s="8"/>
      <c r="M81" s="8"/>
      <c r="N81" s="8"/>
      <c r="O81" s="8"/>
      <c r="P81" s="8"/>
      <c r="Q81" s="8"/>
      <c r="R81" s="8"/>
    </row>
    <row r="82" customFormat="false" ht="12.8" hidden="false" customHeight="false" outlineLevel="0" collapsed="false">
      <c r="B82" s="5"/>
      <c r="C82" s="11" t="s">
        <v>20</v>
      </c>
      <c r="D82" s="11" t="n">
        <v>0.779295</v>
      </c>
      <c r="E82" s="11" t="n">
        <f aca="false">D82*$E$107</f>
        <v>57.826338603</v>
      </c>
      <c r="F82" s="7"/>
      <c r="G82" s="11" t="n">
        <f aca="false">D82*$E$109</f>
        <v>23.0832634065</v>
      </c>
      <c r="H82" s="7"/>
      <c r="I82" s="11" t="n">
        <f aca="false">D82*$E$108</f>
        <v>34.6561058745</v>
      </c>
      <c r="J82" s="7"/>
      <c r="K82" s="8"/>
      <c r="L82" s="8"/>
      <c r="M82" s="8"/>
      <c r="N82" s="8"/>
      <c r="O82" s="8"/>
      <c r="P82" s="8"/>
      <c r="Q82" s="8"/>
      <c r="R82" s="8"/>
    </row>
    <row r="83" customFormat="false" ht="12.8" hidden="false" customHeight="false" outlineLevel="0" collapsed="false">
      <c r="B83" s="5" t="n">
        <v>27</v>
      </c>
      <c r="C83" s="6" t="s">
        <v>18</v>
      </c>
      <c r="D83" s="6" t="n">
        <v>0.74138</v>
      </c>
      <c r="E83" s="6" t="n">
        <f aca="false">D83*$E$107</f>
        <v>55.012916692</v>
      </c>
      <c r="F83" s="7" t="n">
        <f aca="false">AVERAGE(E83:E85)</f>
        <v>51.0078623804</v>
      </c>
      <c r="G83" s="6" t="n">
        <f aca="false">D83*$E$109</f>
        <v>21.960194566</v>
      </c>
      <c r="H83" s="7" t="n">
        <f aca="false">AVERAGE(G83:G85)</f>
        <v>20.3614469042</v>
      </c>
      <c r="I83" s="6" t="n">
        <f aca="false">D83*$E$108</f>
        <v>32.969984118</v>
      </c>
      <c r="J83" s="7" t="n">
        <f aca="false">AVERAGE(I83:I85)</f>
        <v>30.5697009666</v>
      </c>
      <c r="K83" s="8"/>
      <c r="L83" s="8"/>
      <c r="M83" s="8"/>
      <c r="N83" s="8"/>
      <c r="O83" s="8"/>
      <c r="P83" s="8"/>
      <c r="Q83" s="8"/>
      <c r="R83" s="8"/>
    </row>
    <row r="84" customFormat="false" ht="12.8" hidden="false" customHeight="false" outlineLevel="0" collapsed="false">
      <c r="B84" s="5"/>
      <c r="C84" s="9" t="s">
        <v>19</v>
      </c>
      <c r="D84" s="9" t="n">
        <v>0.564378</v>
      </c>
      <c r="E84" s="9" t="n">
        <f aca="false">D84*$E$107</f>
        <v>41.8787664852</v>
      </c>
      <c r="F84" s="7"/>
      <c r="G84" s="9" t="n">
        <f aca="false">D84*$E$109</f>
        <v>16.7172714246</v>
      </c>
      <c r="H84" s="7"/>
      <c r="I84" s="9" t="n">
        <f aca="false">D84*$E$108</f>
        <v>25.0985104758</v>
      </c>
      <c r="J84" s="7"/>
      <c r="K84" s="8"/>
      <c r="L84" s="8"/>
      <c r="M84" s="8"/>
      <c r="N84" s="8"/>
      <c r="O84" s="8"/>
      <c r="P84" s="8"/>
      <c r="Q84" s="8"/>
      <c r="R84" s="8"/>
    </row>
    <row r="85" customFormat="false" ht="12.8" hidden="false" customHeight="false" outlineLevel="0" collapsed="false">
      <c r="B85" s="5"/>
      <c r="C85" s="11" t="s">
        <v>20</v>
      </c>
      <c r="D85" s="11" t="n">
        <v>0.75646</v>
      </c>
      <c r="E85" s="11" t="n">
        <f aca="false">D85*$E$107</f>
        <v>56.131903964</v>
      </c>
      <c r="F85" s="7"/>
      <c r="G85" s="11" t="n">
        <f aca="false">D85*$E$109</f>
        <v>22.406874722</v>
      </c>
      <c r="H85" s="7"/>
      <c r="I85" s="11" t="n">
        <f aca="false">D85*$E$108</f>
        <v>33.640608306</v>
      </c>
      <c r="J85" s="7"/>
      <c r="K85" s="8"/>
      <c r="L85" s="8"/>
      <c r="M85" s="8"/>
      <c r="N85" s="8"/>
      <c r="O85" s="8"/>
      <c r="P85" s="8"/>
      <c r="Q85" s="8"/>
      <c r="R85" s="8"/>
    </row>
    <row r="86" customFormat="false" ht="12.8" hidden="false" customHeight="false" outlineLevel="0" collapsed="false">
      <c r="B86" s="5" t="n">
        <v>28</v>
      </c>
      <c r="C86" s="6" t="s">
        <v>18</v>
      </c>
      <c r="D86" s="6" t="n">
        <v>0.749767</v>
      </c>
      <c r="E86" s="6" t="n">
        <f aca="false">D86*$E$107</f>
        <v>55.6352606078</v>
      </c>
      <c r="F86" s="7" t="n">
        <f aca="false">AVERAGE(E86:E88)</f>
        <v>52.1770358852667</v>
      </c>
      <c r="G86" s="6" t="n">
        <f aca="false">D86*$E$109</f>
        <v>22.2086233769</v>
      </c>
      <c r="H86" s="7" t="n">
        <f aca="false">AVERAGE(G86:G88)</f>
        <v>20.8281605269667</v>
      </c>
      <c r="I86" s="6" t="n">
        <f aca="false">D86*$E$108</f>
        <v>33.3429632337</v>
      </c>
      <c r="J86" s="7" t="n">
        <f aca="false">AVERAGE(I86:I88)</f>
        <v>31.2704024419</v>
      </c>
      <c r="K86" s="8"/>
      <c r="L86" s="8"/>
      <c r="M86" s="8"/>
      <c r="N86" s="8"/>
      <c r="O86" s="8"/>
      <c r="P86" s="8"/>
      <c r="Q86" s="8"/>
      <c r="R86" s="8"/>
    </row>
    <row r="87" customFormat="false" ht="12.8" hidden="false" customHeight="false" outlineLevel="0" collapsed="false">
      <c r="B87" s="5"/>
      <c r="C87" s="9" t="s">
        <v>19</v>
      </c>
      <c r="D87" s="9" t="n">
        <v>0.597717</v>
      </c>
      <c r="E87" s="9" t="n">
        <f aca="false">D87*$E$107</f>
        <v>44.3526336378</v>
      </c>
      <c r="F87" s="7"/>
      <c r="G87" s="9" t="n">
        <f aca="false">D87*$E$109</f>
        <v>17.7047959419</v>
      </c>
      <c r="H87" s="7"/>
      <c r="I87" s="9" t="n">
        <f aca="false">D87*$E$108</f>
        <v>26.5811324787</v>
      </c>
      <c r="J87" s="7"/>
      <c r="K87" s="8"/>
      <c r="L87" s="8"/>
      <c r="M87" s="8"/>
      <c r="N87" s="8"/>
      <c r="O87" s="8"/>
      <c r="P87" s="8"/>
      <c r="Q87" s="8"/>
      <c r="R87" s="8"/>
    </row>
    <row r="88" customFormat="false" ht="12.8" hidden="false" customHeight="false" outlineLevel="0" collapsed="false">
      <c r="B88" s="5"/>
      <c r="C88" s="11" t="s">
        <v>20</v>
      </c>
      <c r="D88" s="11" t="n">
        <v>0.762003</v>
      </c>
      <c r="E88" s="11" t="n">
        <f aca="false">D88*$E$107</f>
        <v>56.5432134102</v>
      </c>
      <c r="F88" s="7"/>
      <c r="G88" s="11" t="n">
        <f aca="false">D88*$E$109</f>
        <v>22.5710622621</v>
      </c>
      <c r="H88" s="7"/>
      <c r="I88" s="11" t="n">
        <f aca="false">D88*$E$108</f>
        <v>33.8871116133</v>
      </c>
      <c r="J88" s="7"/>
      <c r="K88" s="8"/>
      <c r="L88" s="8"/>
      <c r="M88" s="8"/>
      <c r="N88" s="8"/>
      <c r="O88" s="8"/>
      <c r="P88" s="8"/>
      <c r="Q88" s="8"/>
      <c r="R88" s="8"/>
    </row>
    <row r="89" customFormat="false" ht="12.8" hidden="false" customHeight="false" outlineLevel="0" collapsed="false">
      <c r="B89" s="5" t="n">
        <v>29</v>
      </c>
      <c r="C89" s="6" t="s">
        <v>18</v>
      </c>
      <c r="D89" s="6" t="n">
        <v>0.789636</v>
      </c>
      <c r="E89" s="6" t="n">
        <f aca="false">D89*$E$107</f>
        <v>58.5936759624</v>
      </c>
      <c r="F89" s="7" t="n">
        <f aca="false">AVERAGE(E89:E91)</f>
        <v>54.6679203509333</v>
      </c>
      <c r="G89" s="6" t="n">
        <f aca="false">D89*$E$109</f>
        <v>23.3895710652</v>
      </c>
      <c r="H89" s="7" t="n">
        <f aca="false">AVERAGE(G89:G91)</f>
        <v>21.8224780581333</v>
      </c>
      <c r="I89" s="6" t="n">
        <f aca="false">D89*$E$108</f>
        <v>35.1159815196</v>
      </c>
      <c r="J89" s="7" t="n">
        <f aca="false">AVERAGE(I89:I91)</f>
        <v>32.7632231504</v>
      </c>
      <c r="K89" s="8"/>
      <c r="L89" s="8"/>
      <c r="M89" s="8"/>
      <c r="N89" s="8"/>
      <c r="O89" s="8"/>
      <c r="P89" s="8"/>
      <c r="Q89" s="8"/>
      <c r="R89" s="8"/>
    </row>
    <row r="90" customFormat="false" ht="12.8" hidden="false" customHeight="false" outlineLevel="0" collapsed="false">
      <c r="B90" s="5"/>
      <c r="C90" s="9" t="s">
        <v>19</v>
      </c>
      <c r="D90" s="9" t="n">
        <v>0.616025</v>
      </c>
      <c r="E90" s="9" t="n">
        <f aca="false">D90*$E$107</f>
        <v>45.711149485</v>
      </c>
      <c r="F90" s="7"/>
      <c r="G90" s="9" t="n">
        <f aca="false">D90*$E$109</f>
        <v>18.2470917175</v>
      </c>
      <c r="H90" s="7"/>
      <c r="I90" s="9" t="n">
        <f aca="false">D90*$E$108</f>
        <v>27.3953093775</v>
      </c>
      <c r="J90" s="7"/>
      <c r="K90" s="8"/>
      <c r="L90" s="8"/>
      <c r="M90" s="8"/>
      <c r="N90" s="8"/>
      <c r="O90" s="8"/>
      <c r="P90" s="8"/>
      <c r="Q90" s="8"/>
      <c r="R90" s="8"/>
    </row>
    <row r="91" customFormat="false" ht="12.8" hidden="false" customHeight="false" outlineLevel="0" collapsed="false">
      <c r="B91" s="5"/>
      <c r="C91" s="11" t="s">
        <v>20</v>
      </c>
      <c r="D91" s="11" t="n">
        <v>0.804531</v>
      </c>
      <c r="E91" s="11" t="n">
        <f aca="false">D91*$E$107</f>
        <v>59.6989356054</v>
      </c>
      <c r="F91" s="7"/>
      <c r="G91" s="11" t="n">
        <f aca="false">D91*$E$109</f>
        <v>23.8307713917</v>
      </c>
      <c r="H91" s="7"/>
      <c r="I91" s="11" t="n">
        <f aca="false">D91*$E$108</f>
        <v>35.7783785541</v>
      </c>
      <c r="J91" s="7"/>
      <c r="K91" s="8"/>
      <c r="L91" s="8"/>
      <c r="M91" s="8"/>
      <c r="N91" s="8"/>
      <c r="O91" s="8"/>
      <c r="P91" s="8"/>
      <c r="Q91" s="8"/>
      <c r="R91" s="8"/>
    </row>
    <row r="92" customFormat="false" ht="12.8" hidden="false" customHeight="false" outlineLevel="0" collapsed="false">
      <c r="B92" s="5" t="n">
        <v>30</v>
      </c>
      <c r="C92" s="6" t="s">
        <v>18</v>
      </c>
      <c r="D92" s="6" t="n">
        <v>0.932153</v>
      </c>
      <c r="E92" s="6" t="n">
        <f aca="false">D92*$E$107</f>
        <v>69.1689219202</v>
      </c>
      <c r="F92" s="7" t="n">
        <f aca="false">AVERAGE(E92:E94)</f>
        <v>68.279000544</v>
      </c>
      <c r="G92" s="6" t="n">
        <f aca="false">D92*$E$109</f>
        <v>27.6110243671</v>
      </c>
      <c r="H92" s="7" t="n">
        <f aca="false">AVERAGE(G92:G94)</f>
        <v>27.255783312</v>
      </c>
      <c r="I92" s="6" t="n">
        <f aca="false">D92*$E$108</f>
        <v>41.4538692783</v>
      </c>
      <c r="J92" s="7" t="n">
        <f aca="false">AVERAGE(I92:I94)</f>
        <v>40.920527376</v>
      </c>
      <c r="K92" s="8"/>
      <c r="L92" s="8"/>
      <c r="M92" s="8"/>
      <c r="N92" s="8"/>
      <c r="O92" s="8"/>
      <c r="P92" s="8"/>
      <c r="Q92" s="8"/>
      <c r="R92" s="8"/>
    </row>
    <row r="93" customFormat="false" ht="12.8" hidden="false" customHeight="false" outlineLevel="0" collapsed="false">
      <c r="B93" s="5"/>
      <c r="C93" s="9" t="s">
        <v>19</v>
      </c>
      <c r="D93" s="9" t="n">
        <v>0.851426</v>
      </c>
      <c r="E93" s="9" t="n">
        <f aca="false">D93*$E$107</f>
        <v>63.1787040484</v>
      </c>
      <c r="F93" s="7"/>
      <c r="G93" s="9" t="n">
        <f aca="false">D93*$E$109</f>
        <v>25.2198341182</v>
      </c>
      <c r="H93" s="7"/>
      <c r="I93" s="9" t="n">
        <f aca="false">D93*$E$108</f>
        <v>37.8638507886</v>
      </c>
      <c r="J93" s="7"/>
      <c r="K93" s="8"/>
      <c r="L93" s="8"/>
      <c r="M93" s="8"/>
      <c r="N93" s="8"/>
      <c r="O93" s="8"/>
      <c r="P93" s="8"/>
      <c r="Q93" s="8"/>
      <c r="R93" s="8"/>
    </row>
    <row r="94" customFormat="false" ht="12.8" hidden="false" customHeight="false" outlineLevel="0" collapsed="false">
      <c r="B94" s="5"/>
      <c r="C94" s="11" t="s">
        <v>20</v>
      </c>
      <c r="D94" s="11" t="n">
        <v>0.976901</v>
      </c>
      <c r="E94" s="11" t="n">
        <f aca="false">D94*$E$107</f>
        <v>72.4893756634</v>
      </c>
      <c r="F94" s="7"/>
      <c r="G94" s="11" t="n">
        <f aca="false">D94*$E$109</f>
        <v>28.9364914507</v>
      </c>
      <c r="H94" s="7"/>
      <c r="I94" s="11" t="n">
        <f aca="false">D94*$E$108</f>
        <v>43.4438620611</v>
      </c>
      <c r="J94" s="7"/>
      <c r="K94" s="8"/>
      <c r="L94" s="8"/>
      <c r="M94" s="8"/>
      <c r="N94" s="8"/>
      <c r="O94" s="8"/>
      <c r="P94" s="8"/>
      <c r="Q94" s="8"/>
      <c r="R94" s="8"/>
    </row>
    <row r="95" customFormat="false" ht="12.8" hidden="false" customHeight="false" outlineLevel="0" collapsed="false">
      <c r="B95" s="5" t="n">
        <v>31</v>
      </c>
      <c r="C95" s="6" t="s">
        <v>18</v>
      </c>
      <c r="D95" s="6" t="n">
        <v>0.723588</v>
      </c>
      <c r="E95" s="6" t="n">
        <f aca="false">D95*$E$107</f>
        <v>53.6926897992</v>
      </c>
      <c r="F95" s="7" t="n">
        <f aca="false">AVERAGE(E95:E97)</f>
        <v>50.0190031375333</v>
      </c>
      <c r="G95" s="6" t="n">
        <f aca="false">D95*$E$109</f>
        <v>21.4331830716</v>
      </c>
      <c r="H95" s="7" t="n">
        <f aca="false">AVERAGE(G95:G97)</f>
        <v>19.9667115824333</v>
      </c>
      <c r="I95" s="6" t="n">
        <f aca="false">D95*$E$108</f>
        <v>32.1787543068</v>
      </c>
      <c r="J95" s="7" t="n">
        <f aca="false">AVERAGE(I95:I97)</f>
        <v>29.9770642643</v>
      </c>
      <c r="K95" s="8"/>
      <c r="L95" s="8"/>
      <c r="M95" s="8"/>
      <c r="N95" s="8"/>
      <c r="O95" s="8"/>
      <c r="P95" s="8"/>
      <c r="Q95" s="8"/>
      <c r="R95" s="8"/>
    </row>
    <row r="96" customFormat="false" ht="12.8" hidden="false" customHeight="false" outlineLevel="0" collapsed="false">
      <c r="B96" s="5"/>
      <c r="C96" s="9" t="s">
        <v>19</v>
      </c>
      <c r="D96" s="9" t="n">
        <v>0.573595</v>
      </c>
      <c r="E96" s="9" t="n">
        <f aca="false">D96*$E$107</f>
        <v>42.562699223</v>
      </c>
      <c r="F96" s="7"/>
      <c r="G96" s="9" t="n">
        <f aca="false">D96*$E$109</f>
        <v>16.9902854165</v>
      </c>
      <c r="H96" s="7"/>
      <c r="I96" s="9" t="n">
        <f aca="false">D96*$E$108</f>
        <v>25.5084006045</v>
      </c>
      <c r="J96" s="7"/>
      <c r="K96" s="8"/>
      <c r="L96" s="8"/>
      <c r="M96" s="8"/>
      <c r="N96" s="8"/>
      <c r="O96" s="8"/>
      <c r="P96" s="8"/>
      <c r="Q96" s="8"/>
      <c r="R96" s="8"/>
    </row>
    <row r="97" customFormat="false" ht="12.8" hidden="false" customHeight="false" outlineLevel="0" collapsed="false">
      <c r="B97" s="5"/>
      <c r="C97" s="11" t="s">
        <v>20</v>
      </c>
      <c r="D97" s="11" t="n">
        <v>0.725056</v>
      </c>
      <c r="E97" s="11" t="n">
        <f aca="false">D97*$E$107</f>
        <v>53.8016203904</v>
      </c>
      <c r="F97" s="7"/>
      <c r="G97" s="11" t="n">
        <f aca="false">D97*$E$109</f>
        <v>21.4766662592</v>
      </c>
      <c r="H97" s="7"/>
      <c r="I97" s="11" t="n">
        <f aca="false">D97*$E$108</f>
        <v>32.2440378816</v>
      </c>
      <c r="J97" s="7"/>
      <c r="K97" s="8"/>
      <c r="L97" s="8"/>
      <c r="M97" s="8"/>
      <c r="N97" s="8"/>
      <c r="O97" s="8"/>
      <c r="P97" s="8"/>
      <c r="Q97" s="8"/>
      <c r="R97" s="8"/>
    </row>
    <row r="100" customFormat="false" ht="12.8" hidden="false" customHeight="false" outlineLevel="0" collapsed="false">
      <c r="B100" s="10"/>
    </row>
    <row r="103" customFormat="false" ht="35.05" hidden="false" customHeight="false" outlineLevel="0" collapsed="false">
      <c r="B103" s="4" t="s">
        <v>22</v>
      </c>
      <c r="C103" s="3" t="s">
        <v>23</v>
      </c>
      <c r="D103" s="4" t="s">
        <v>24</v>
      </c>
      <c r="E103" s="4" t="s">
        <v>25</v>
      </c>
    </row>
    <row r="104" customFormat="false" ht="12.8" hidden="false" customHeight="false" outlineLevel="0" collapsed="false">
      <c r="B104" s="13" t="s">
        <v>26</v>
      </c>
      <c r="C104" s="13" t="n">
        <v>5.8</v>
      </c>
      <c r="D104" s="8" t="s">
        <v>27</v>
      </c>
      <c r="E104" s="8" t="n">
        <v>130.522</v>
      </c>
      <c r="Z104" s="14"/>
    </row>
    <row r="105" customFormat="false" ht="12.8" hidden="false" customHeight="false" outlineLevel="0" collapsed="false">
      <c r="B105" s="13" t="s">
        <v>26</v>
      </c>
      <c r="C105" s="13" t="n">
        <v>5.16</v>
      </c>
      <c r="D105" s="8" t="s">
        <v>27</v>
      </c>
      <c r="E105" s="8" t="n">
        <v>140.548</v>
      </c>
    </row>
    <row r="106" customFormat="false" ht="12.8" hidden="false" customHeight="false" outlineLevel="0" collapsed="false">
      <c r="B106" s="13" t="s">
        <v>26</v>
      </c>
      <c r="C106" s="13" t="n">
        <v>5.49</v>
      </c>
      <c r="D106" s="8" t="s">
        <v>27</v>
      </c>
      <c r="E106" s="8" t="n">
        <v>135.243</v>
      </c>
    </row>
    <row r="107" customFormat="false" ht="12.8" hidden="false" customHeight="false" outlineLevel="0" collapsed="false">
      <c r="B107" s="13" t="s">
        <v>28</v>
      </c>
      <c r="C107" s="13" t="n">
        <v>1</v>
      </c>
      <c r="D107" s="8" t="s">
        <v>27</v>
      </c>
      <c r="E107" s="8" t="n">
        <v>74.2034</v>
      </c>
    </row>
    <row r="108" customFormat="false" ht="12.8" hidden="false" customHeight="false" outlineLevel="0" collapsed="false">
      <c r="B108" s="8" t="s">
        <v>28</v>
      </c>
      <c r="C108" s="8" t="n">
        <v>2.6</v>
      </c>
      <c r="D108" s="8" t="s">
        <v>27</v>
      </c>
      <c r="E108" s="8" t="n">
        <v>44.4711</v>
      </c>
      <c r="F108" s="10"/>
    </row>
    <row r="109" customFormat="false" ht="12.8" hidden="false" customHeight="false" outlineLevel="0" collapsed="false">
      <c r="B109" s="8" t="s">
        <v>28</v>
      </c>
      <c r="C109" s="8" t="n">
        <v>5</v>
      </c>
      <c r="D109" s="8" t="s">
        <v>27</v>
      </c>
      <c r="E109" s="8" t="n">
        <v>29.6207</v>
      </c>
    </row>
    <row r="111" customFormat="false" ht="12.8" hidden="false" customHeight="false" outlineLevel="0" collapsed="false">
      <c r="B111" s="15"/>
      <c r="C111" s="15"/>
    </row>
    <row r="113" customFormat="false" ht="35.05" hidden="false" customHeight="false" outlineLevel="0" collapsed="false">
      <c r="B113" s="4" t="s">
        <v>29</v>
      </c>
      <c r="C113" s="4" t="s">
        <v>30</v>
      </c>
      <c r="D113" s="4" t="s">
        <v>31</v>
      </c>
      <c r="E113" s="15"/>
    </row>
    <row r="114" customFormat="false" ht="23.85" hidden="false" customHeight="false" outlineLevel="0" collapsed="false">
      <c r="B114" s="16" t="s">
        <v>32</v>
      </c>
      <c r="C114" s="16" t="n">
        <v>17</v>
      </c>
      <c r="D114" s="8" t="n">
        <f aca="false">C114*$C$120</f>
        <v>15835.5</v>
      </c>
    </row>
    <row r="115" customFormat="false" ht="23.85" hidden="false" customHeight="false" outlineLevel="0" collapsed="false">
      <c r="B115" s="16" t="s">
        <v>33</v>
      </c>
      <c r="C115" s="16" t="n">
        <v>21</v>
      </c>
      <c r="D115" s="8" t="n">
        <f aca="false">C115*$C$120</f>
        <v>19561.5</v>
      </c>
    </row>
    <row r="116" customFormat="false" ht="23.85" hidden="false" customHeight="false" outlineLevel="0" collapsed="false">
      <c r="B116" s="16" t="s">
        <v>34</v>
      </c>
      <c r="C116" s="16" t="n">
        <v>3</v>
      </c>
      <c r="D116" s="8" t="n">
        <f aca="false">C116*$C$120</f>
        <v>2794.5</v>
      </c>
    </row>
    <row r="117" customFormat="false" ht="23.85" hidden="false" customHeight="false" outlineLevel="0" collapsed="false">
      <c r="B117" s="16" t="s">
        <v>35</v>
      </c>
      <c r="C117" s="16" t="n">
        <v>7</v>
      </c>
      <c r="D117" s="8" t="n">
        <f aca="false">C117*$C$120</f>
        <v>6520.5</v>
      </c>
    </row>
    <row r="118" customFormat="false" ht="23.85" hidden="false" customHeight="false" outlineLevel="0" collapsed="false">
      <c r="B118" s="16" t="s">
        <v>36</v>
      </c>
      <c r="C118" s="16" t="n">
        <v>68</v>
      </c>
      <c r="D118" s="17"/>
    </row>
    <row r="119" customFormat="false" ht="35.05" hidden="false" customHeight="false" outlineLevel="0" collapsed="false">
      <c r="B119" s="16" t="s">
        <v>37</v>
      </c>
      <c r="C119" s="16" t="n">
        <v>67.7837</v>
      </c>
    </row>
    <row r="120" customFormat="false" ht="23.85" hidden="false" customHeight="false" outlineLevel="0" collapsed="false">
      <c r="B120" s="16" t="s">
        <v>38</v>
      </c>
      <c r="C120" s="16" t="n">
        <v>931.5</v>
      </c>
    </row>
    <row r="122" s="14" customFormat="true" ht="35.05" hidden="false" customHeight="false" outlineLevel="0" collapsed="false">
      <c r="B122" s="4" t="s">
        <v>39</v>
      </c>
      <c r="C122" s="4" t="s">
        <v>40</v>
      </c>
      <c r="D122" s="4" t="s">
        <v>41</v>
      </c>
      <c r="F122" s="18"/>
      <c r="H122" s="18"/>
      <c r="J122" s="18"/>
      <c r="Z122" s="1"/>
      <c r="XFC122" s="15"/>
      <c r="XFD122" s="15"/>
    </row>
    <row r="123" customFormat="false" ht="12.8" hidden="false" customHeight="false" outlineLevel="0" collapsed="false">
      <c r="B123" s="8" t="n">
        <v>20.9</v>
      </c>
      <c r="C123" s="8" t="n">
        <v>1</v>
      </c>
      <c r="D123" s="8" t="n">
        <f aca="false">(SQRT($D$114^2 + $D$117^2 + $D$116^2 + 2*$D$114*$D$117 + 2*$D$117*$C$119 - 2*($D$116 + C123)*($D$114 + $C$119 + $D$117) + 2*COS(RADIANS(180-B123))*SQRT($C$119^2 + 2*$D$114*$C$119)*SQRT(C123^2 + 2*$D$116*C123)) - $D$115) * 1000</f>
        <v>6526.51792858887</v>
      </c>
    </row>
    <row r="124" customFormat="false" ht="12.8" hidden="false" customHeight="false" outlineLevel="0" collapsed="false">
      <c r="B124" s="8"/>
      <c r="C124" s="8" t="n">
        <v>5</v>
      </c>
      <c r="D124" s="8" t="n">
        <f aca="false">(SQRT($D$114^2 + $D$117^2 + $D$116^2 + 2*$D$114*$D$117 + 2*$D$117*$C$119 - 2*($D$116 + C124)*($D$114 + $C$119 + $D$117) + 2*COS(RADIANS(180-B124))*SQRT($C$119^2 + 2*$D$114*$C$119)*SQRT(C124^2 + 2*$D$116*C124)) - $D$115) * 1000</f>
        <v>-5361.28993425518</v>
      </c>
    </row>
    <row r="125" customFormat="false" ht="12.8" hidden="false" customHeight="false" outlineLevel="0" collapsed="false">
      <c r="B125" s="8"/>
      <c r="C125" s="8" t="n">
        <v>2.6</v>
      </c>
      <c r="D125" s="8" t="n">
        <f aca="false">(SQRT($D$114^2 + $D$117^2 + $D$116^2 + 2*$D$114*$D$117 + 2*$D$117*$C$119 - 2*($D$116 + C125)*($D$114 + $C$119 + $D$117) + 2*COS(RADIANS(180-B125))*SQRT($C$119^2 + 2*$D$114*$C$119)*SQRT(C125^2 + 2*$D$116*C125)) - $D$115) * 1000</f>
        <v>889.850250216114</v>
      </c>
    </row>
    <row r="126" customFormat="false" ht="12.8" hidden="false" customHeight="false" outlineLevel="0" collapsed="false">
      <c r="B126" s="8" t="n">
        <v>22.6</v>
      </c>
      <c r="C126" s="8" t="n">
        <v>1</v>
      </c>
      <c r="D126" s="8" t="n">
        <f aca="false">(SQRT($D$114^2 + $D$117^2 + $D$116^2 + 2*$D$114*$D$117 + 2*$D$117*$C$119 - 2*($D$116 + C126)*($D$114 + $C$119 + $D$117) + 2*COS(RADIANS(180-B126))*SQRT($C$119^2 + 2*$D$114*$C$119)*SQRT(C126^2 + 2*$D$116*C126)) - $D$115) * 1000</f>
        <v>6588.13227704741</v>
      </c>
    </row>
    <row r="127" customFormat="false" ht="12.8" hidden="false" customHeight="false" outlineLevel="0" collapsed="false">
      <c r="B127" s="8"/>
      <c r="C127" s="8" t="n">
        <v>5</v>
      </c>
      <c r="D127" s="8" t="n">
        <f aca="false">(SQRT($D$114^2 + $D$117^2 + $D$116^2 + 2*$D$114*$D$117 + 2*$D$117*$C$119 - 2*($D$116 + C127)*($D$114 + $C$119 + $D$117) + 2*COS(RADIANS(180-B127))*SQRT($C$119^2 + 2*$D$114*$C$119)*SQRT(C127^2 + 2*$D$116*C127)) - $D$115) * 1000</f>
        <v>-5361.28993425518</v>
      </c>
    </row>
    <row r="128" customFormat="false" ht="12.8" hidden="false" customHeight="false" outlineLevel="0" collapsed="false">
      <c r="B128" s="8"/>
      <c r="C128" s="8" t="n">
        <v>2.6</v>
      </c>
      <c r="D128" s="8" t="n">
        <f aca="false">(SQRT($D$114^2 + $D$117^2 + $D$116^2 + 2*$D$114*$D$117 + 2*$D$117*$C$119 - 2*($D$116 + C128)*($D$114 + $C$119 + $D$117) + 2*COS(RADIANS(180-B128))*SQRT($C$119^2 + 2*$D$114*$C$119)*SQRT(C128^2 + 2*$D$116*C128)) - $D$115) * 1000</f>
        <v>889.850250216114</v>
      </c>
    </row>
    <row r="129" customFormat="false" ht="12.8" hidden="false" customHeight="false" outlineLevel="0" collapsed="false">
      <c r="B129" s="8" t="n">
        <v>24.2</v>
      </c>
      <c r="C129" s="8" t="n">
        <v>1</v>
      </c>
      <c r="D129" s="8" t="n">
        <f aca="false">(SQRT($D$114^2 + $D$117^2 + $D$116^2 + 2*$D$114*$D$117 + 2*$D$117*$C$119 - 2*($D$116 + C129)*($D$114 + $C$119 + $D$117) + 2*COS(RADIANS(180-B129))*SQRT($C$119^2 + 2*$D$114*$C$119)*SQRT(C129^2 + 2*$D$116*C129)) - $D$115) * 1000</f>
        <v>6650.28355929826</v>
      </c>
    </row>
    <row r="130" customFormat="false" ht="12.8" hidden="false" customHeight="false" outlineLevel="0" collapsed="false">
      <c r="B130" s="8"/>
      <c r="C130" s="8" t="n">
        <v>5</v>
      </c>
      <c r="D130" s="8" t="n">
        <f aca="false">(SQRT($D$114^2 + $D$117^2 + $D$116^2 + 2*$D$114*$D$117 + 2*$D$117*$C$119 - 2*($D$116 + C130)*($D$114 + $C$119 + $D$117) + 2*COS(RADIANS(180-B130))*SQRT($C$119^2 + 2*$D$114*$C$119)*SQRT(C130^2 + 2*$D$116*C130)) - $D$115) * 1000</f>
        <v>-5361.28993425518</v>
      </c>
    </row>
    <row r="131" customFormat="false" ht="12.8" hidden="false" customHeight="false" outlineLevel="0" collapsed="false">
      <c r="B131" s="8"/>
      <c r="C131" s="8" t="n">
        <v>2.6</v>
      </c>
      <c r="D131" s="8" t="n">
        <f aca="false">(SQRT($D$114^2 + $D$117^2 + $D$116^2 + 2*$D$114*$D$117 + 2*$D$117*$C$119 - 2*($D$116 + C131)*($D$114 + $C$119 + $D$117) + 2*COS(RADIANS(180-B131))*SQRT($C$119^2 + 2*$D$114*$C$119)*SQRT(C131^2 + 2*$D$116*C131)) - $D$115) * 1000</f>
        <v>889.850250216114</v>
      </c>
    </row>
    <row r="132" customFormat="false" ht="12.8" hidden="false" customHeight="false" outlineLevel="0" collapsed="false">
      <c r="B132" s="8" t="n">
        <v>25.8</v>
      </c>
      <c r="C132" s="8" t="n">
        <v>1</v>
      </c>
      <c r="D132" s="8" t="n">
        <f aca="false">(SQRT($D$114^2 + $D$117^2 + $D$116^2 + 2*$D$114*$D$117 + 2*$D$117*$C$119 - 2*($D$116 + C132)*($D$114 + $C$119 + $D$117) + 2*COS(RADIANS(180-B132))*SQRT($C$119^2 + 2*$D$114*$C$119)*SQRT(C132^2 + 2*$D$116*C132)) - $D$115) * 1000</f>
        <v>6716.42058630823</v>
      </c>
    </row>
    <row r="133" customFormat="false" ht="12.8" hidden="false" customHeight="false" outlineLevel="0" collapsed="false">
      <c r="B133" s="8"/>
      <c r="C133" s="8" t="n">
        <v>5</v>
      </c>
      <c r="D133" s="8" t="n">
        <f aca="false">(SQRT($D$114^2 + $D$117^2 + $D$116^2 + 2*$D$114*$D$117 + 2*$D$117*$C$119 - 2*($D$116 + C133)*($D$114 + $C$119 + $D$117) + 2*COS(RADIANS(180-B133))*SQRT($C$119^2 + 2*$D$114*$C$119)*SQRT(C133^2 + 2*$D$116*C133)) - $D$115) * 1000</f>
        <v>-5361.28993425518</v>
      </c>
    </row>
    <row r="134" customFormat="false" ht="12.8" hidden="false" customHeight="false" outlineLevel="0" collapsed="false">
      <c r="B134" s="8"/>
      <c r="C134" s="8" t="n">
        <v>2.6</v>
      </c>
      <c r="D134" s="8" t="n">
        <f aca="false">(SQRT($D$114^2 + $D$117^2 + $D$116^2 + 2*$D$114*$D$117 + 2*$D$117*$C$119 - 2*($D$116 + C134)*($D$114 + $C$119 + $D$117) + 2*COS(RADIANS(180-B134))*SQRT($C$119^2 + 2*$D$114*$C$119)*SQRT(C134^2 + 2*$D$116*C134)) - $D$115) * 1000</f>
        <v>889.850250216114</v>
      </c>
    </row>
    <row r="135" customFormat="false" ht="12.8" hidden="false" customHeight="false" outlineLevel="0" collapsed="false">
      <c r="B135" s="8" t="n">
        <v>27.3</v>
      </c>
      <c r="C135" s="8" t="n">
        <v>1</v>
      </c>
      <c r="D135" s="8" t="n">
        <f aca="false">(SQRT($D$114^2 + $D$117^2 + $D$116^2 + 2*$D$114*$D$117 + 2*$D$117*$C$119 - 2*($D$116 + C135)*($D$114 + $C$119 + $D$117) + 2*COS(RADIANS(180-B135))*SQRT($C$119^2 + 2*$D$114*$C$119)*SQRT(C135^2 + 2*$D$116*C135)) - $D$115) * 1000</f>
        <v>6781.99806028715</v>
      </c>
    </row>
    <row r="136" customFormat="false" ht="12.8" hidden="false" customHeight="false" outlineLevel="0" collapsed="false">
      <c r="B136" s="8"/>
      <c r="C136" s="8" t="n">
        <v>5</v>
      </c>
      <c r="D136" s="8" t="n">
        <f aca="false">(SQRT($D$114^2 + $D$117^2 + $D$116^2 + 2*$D$114*$D$117 + 2*$D$117*$C$119 - 2*($D$116 + C136)*($D$114 + $C$119 + $D$117) + 2*COS(RADIANS(180-B136))*SQRT($C$119^2 + 2*$D$114*$C$119)*SQRT(C136^2 + 2*$D$116*C136)) - $D$115) * 1000</f>
        <v>-5361.28993425518</v>
      </c>
    </row>
    <row r="137" customFormat="false" ht="12.8" hidden="false" customHeight="false" outlineLevel="0" collapsed="false">
      <c r="B137" s="8"/>
      <c r="C137" s="8" t="n">
        <v>2.6</v>
      </c>
      <c r="D137" s="8" t="n">
        <f aca="false">(SQRT($D$114^2 + $D$117^2 + $D$116^2 + 2*$D$114*$D$117 + 2*$D$117*$C$119 - 2*($D$116 + C137)*($D$114 + $C$119 + $D$117) + 2*COS(RADIANS(180-B137))*SQRT($C$119^2 + 2*$D$114*$C$119)*SQRT(C137^2 + 2*$D$116*C137)) - $D$115) * 1000</f>
        <v>889.850250216114</v>
      </c>
    </row>
    <row r="138" customFormat="false" ht="12.8" hidden="false" customHeight="false" outlineLevel="0" collapsed="false">
      <c r="B138" s="8" t="n">
        <v>28.8</v>
      </c>
      <c r="C138" s="8" t="n">
        <v>1</v>
      </c>
      <c r="D138" s="8" t="n">
        <f aca="false">(SQRT($D$114^2 + $D$117^2 + $D$116^2 + 2*$D$114*$D$117 + 2*$D$117*$C$119 - 2*($D$116 + C138)*($D$114 + $C$119 + $D$117) + 2*COS(RADIANS(180-B138))*SQRT($C$119^2 + 2*$D$114*$C$119)*SQRT(C138^2 + 2*$D$116*C138)) - $D$115) * 1000</f>
        <v>6850.9883174811</v>
      </c>
    </row>
    <row r="139" customFormat="false" ht="12.8" hidden="false" customHeight="false" outlineLevel="0" collapsed="false">
      <c r="B139" s="8"/>
      <c r="C139" s="8" t="n">
        <v>5</v>
      </c>
      <c r="D139" s="8" t="n">
        <f aca="false">(SQRT($D$114^2 + $D$117^2 + $D$116^2 + 2*$D$114*$D$117 + 2*$D$117*$C$119 - 2*($D$116 + C139)*($D$114 + $C$119 + $D$117) + 2*COS(RADIANS(180-B139))*SQRT($C$119^2 + 2*$D$114*$C$119)*SQRT(C139^2 + 2*$D$116*C139)) - $D$115) * 1000</f>
        <v>-5361.28993425518</v>
      </c>
    </row>
    <row r="140" customFormat="false" ht="12.8" hidden="false" customHeight="false" outlineLevel="0" collapsed="false">
      <c r="B140" s="8"/>
      <c r="C140" s="8" t="n">
        <v>2.6</v>
      </c>
      <c r="D140" s="8" t="n">
        <f aca="false">(SQRT($D$114^2 + $D$117^2 + $D$116^2 + 2*$D$114*$D$117 + 2*$D$117*$C$119 - 2*($D$116 + C140)*($D$114 + $C$119 + $D$117) + 2*COS(RADIANS(180-B140))*SQRT($C$119^2 + 2*$D$114*$C$119)*SQRT(C140^2 + 2*$D$116*C140)) - $D$115) * 1000</f>
        <v>889.850250216114</v>
      </c>
    </row>
    <row r="141" customFormat="false" ht="12.8" hidden="false" customHeight="false" outlineLevel="0" collapsed="false">
      <c r="B141" s="8" t="n">
        <v>30.2</v>
      </c>
      <c r="C141" s="8" t="n">
        <v>1</v>
      </c>
      <c r="D141" s="8" t="n">
        <f aca="false">(SQRT($D$114^2 + $D$117^2 + $D$116^2 + 2*$D$114*$D$117 + 2*$D$117*$C$119 - 2*($D$116 + C141)*($D$114 + $C$119 + $D$117) + 2*COS(RADIANS(180-B141))*SQRT($C$119^2 + 2*$D$114*$C$119)*SQRT(C141^2 + 2*$D$116*C141)) - $D$115) * 1000</f>
        <v>6918.4166041523</v>
      </c>
    </row>
    <row r="142" customFormat="false" ht="12.8" hidden="false" customHeight="false" outlineLevel="0" collapsed="false">
      <c r="B142" s="8"/>
      <c r="C142" s="8" t="n">
        <v>5</v>
      </c>
      <c r="D142" s="8" t="n">
        <f aca="false">(SQRT($D$114^2 + $D$117^2 + $D$116^2 + 2*$D$114*$D$117 + 2*$D$117*$C$119 - 2*($D$116 + C142)*($D$114 + $C$119 + $D$117) + 2*COS(RADIANS(180-B142))*SQRT($C$119^2 + 2*$D$114*$C$119)*SQRT(C142^2 + 2*$D$116*C142)) - $D$115) * 1000</f>
        <v>-5361.28993425518</v>
      </c>
    </row>
    <row r="143" customFormat="false" ht="12.8" hidden="false" customHeight="false" outlineLevel="0" collapsed="false">
      <c r="B143" s="8"/>
      <c r="C143" s="8" t="n">
        <v>2.6</v>
      </c>
      <c r="D143" s="8" t="n">
        <f aca="false">(SQRT($D$114^2 + $D$117^2 + $D$116^2 + 2*$D$114*$D$117 + 2*$D$117*$C$119 - 2*($D$116 + C143)*($D$114 + $C$119 + $D$117) + 2*COS(RADIANS(180-B143))*SQRT($C$119^2 + 2*$D$114*$C$119)*SQRT(C143^2 + 2*$D$116*C143)) - $D$115) * 1000</f>
        <v>889.850250216114</v>
      </c>
    </row>
    <row r="144" customFormat="false" ht="12.8" hidden="false" customHeight="false" outlineLevel="0" collapsed="false">
      <c r="B144" s="8" t="n">
        <v>31.6</v>
      </c>
      <c r="C144" s="8" t="n">
        <v>1</v>
      </c>
      <c r="D144" s="8" t="n">
        <f aca="false">(SQRT($D$114^2 + $D$117^2 + $D$116^2 + 2*$D$114*$D$117 + 2*$D$117*$C$119 - 2*($D$116 + C144)*($D$114 + $C$119 + $D$117) + 2*COS(RADIANS(180-B144))*SQRT($C$119^2 + 2*$D$114*$C$119)*SQRT(C144^2 + 2*$D$116*C144)) - $D$115) * 1000</f>
        <v>6988.73632012692</v>
      </c>
    </row>
    <row r="145" customFormat="false" ht="12.8" hidden="false" customHeight="false" outlineLevel="0" collapsed="false">
      <c r="B145" s="8"/>
      <c r="C145" s="8" t="n">
        <v>5</v>
      </c>
      <c r="D145" s="8" t="n">
        <f aca="false">(SQRT($D$114^2 + $D$117^2 + $D$116^2 + 2*$D$114*$D$117 + 2*$D$117*$C$119 - 2*($D$116 + C145)*($D$114 + $C$119 + $D$117) + 2*COS(RADIANS(180-B145))*SQRT($C$119^2 + 2*$D$114*$C$119)*SQRT(C145^2 + 2*$D$116*C145)) - $D$115) * 1000</f>
        <v>-5361.28993425518</v>
      </c>
    </row>
    <row r="146" customFormat="false" ht="12.8" hidden="false" customHeight="false" outlineLevel="0" collapsed="false">
      <c r="B146" s="8"/>
      <c r="C146" s="8" t="n">
        <v>2.6</v>
      </c>
      <c r="D146" s="8" t="n">
        <f aca="false">(SQRT($D$114^2 + $D$117^2 + $D$116^2 + 2*$D$114*$D$117 + 2*$D$117*$C$119 - 2*($D$116 + C146)*($D$114 + $C$119 + $D$117) + 2*COS(RADIANS(180-B146))*SQRT($C$119^2 + 2*$D$114*$C$119)*SQRT(C146^2 + 2*$D$116*C146)) - $D$115) * 1000</f>
        <v>889.850250216114</v>
      </c>
    </row>
    <row r="147" customFormat="false" ht="12.8" hidden="false" customHeight="false" outlineLevel="0" collapsed="false">
      <c r="B147" s="8" t="n">
        <v>33</v>
      </c>
      <c r="C147" s="8" t="n">
        <v>1</v>
      </c>
      <c r="D147" s="8" t="n">
        <f aca="false">(SQRT($D$114^2 + $D$117^2 + $D$116^2 + 2*$D$114*$D$117 + 2*$D$117*$C$119 - 2*($D$116 + C147)*($D$114 + $C$119 + $D$117) + 2*COS(RADIANS(180-B147))*SQRT($C$119^2 + 2*$D$114*$C$119)*SQRT(C147^2 + 2*$D$116*C147)) - $D$115) * 1000</f>
        <v>7061.90545215941</v>
      </c>
    </row>
    <row r="148" customFormat="false" ht="12.8" hidden="false" customHeight="false" outlineLevel="0" collapsed="false">
      <c r="B148" s="8"/>
      <c r="C148" s="8" t="n">
        <v>5</v>
      </c>
      <c r="D148" s="8" t="n">
        <f aca="false">(SQRT($D$114^2 + $D$117^2 + $D$116^2 + 2*$D$114*$D$117 + 2*$D$117*$C$119 - 2*($D$116 + C148)*($D$114 + $C$119 + $D$117) + 2*COS(RADIANS(180-B148))*SQRT($C$119^2 + 2*$D$114*$C$119)*SQRT(C148^2 + 2*$D$116*C148)) - $D$115) * 1000</f>
        <v>-5361.28993425518</v>
      </c>
    </row>
    <row r="149" customFormat="false" ht="12.8" hidden="false" customHeight="false" outlineLevel="0" collapsed="false">
      <c r="B149" s="8"/>
      <c r="C149" s="8" t="n">
        <v>2.6</v>
      </c>
      <c r="D149" s="8" t="n">
        <f aca="false">(SQRT($D$114^2 + $D$117^2 + $D$116^2 + 2*$D$114*$D$117 + 2*$D$117*$C$119 - 2*($D$116 + C149)*($D$114 + $C$119 + $D$117) + 2*COS(RADIANS(180-B149))*SQRT($C$119^2 + 2*$D$114*$C$119)*SQRT(C149^2 + 2*$D$116*C149)) - $D$115) * 1000</f>
        <v>889.850250216114</v>
      </c>
    </row>
    <row r="150" customFormat="false" ht="12.8" hidden="false" customHeight="false" outlineLevel="0" collapsed="false">
      <c r="B150" s="8" t="n">
        <v>34.3</v>
      </c>
      <c r="C150" s="8" t="n">
        <v>1</v>
      </c>
      <c r="D150" s="8" t="n">
        <f aca="false">(SQRT($D$114^2 + $D$117^2 + $D$116^2 + 2*$D$114*$D$117 + 2*$D$117*$C$119 - 2*($D$116 + C150)*($D$114 + $C$119 + $D$117) + 2*COS(RADIANS(180-B150))*SQRT($C$119^2 + 2*$D$114*$C$119)*SQRT(C150^2 + 2*$D$116*C150)) - $D$115) * 1000</f>
        <v>7132.36142331152</v>
      </c>
    </row>
    <row r="151" customFormat="false" ht="12.8" hidden="false" customHeight="false" outlineLevel="0" collapsed="false">
      <c r="B151" s="8"/>
      <c r="C151" s="8" t="n">
        <v>5</v>
      </c>
      <c r="D151" s="8" t="n">
        <f aca="false">(SQRT($D$114^2 + $D$117^2 + $D$116^2 + 2*$D$114*$D$117 + 2*$D$117*$C$119 - 2*($D$116 + C151)*($D$114 + $C$119 + $D$117) + 2*COS(RADIANS(180-B151))*SQRT($C$119^2 + 2*$D$114*$C$119)*SQRT(C151^2 + 2*$D$116*C151)) - $D$115) * 1000</f>
        <v>-5361.28993425518</v>
      </c>
    </row>
    <row r="152" customFormat="false" ht="12.8" hidden="false" customHeight="false" outlineLevel="0" collapsed="false">
      <c r="B152" s="8"/>
      <c r="C152" s="8" t="n">
        <v>2.6</v>
      </c>
      <c r="D152" s="8" t="n">
        <f aca="false">(SQRT($D$114^2 + $D$117^2 + $D$116^2 + 2*$D$114*$D$117 + 2*$D$117*$C$119 - 2*($D$116 + C152)*($D$114 + $C$119 + $D$117) + 2*COS(RADIANS(180-B152))*SQRT($C$119^2 + 2*$D$114*$C$119)*SQRT(C152^2 + 2*$D$116*C152)) - $D$115) * 1000</f>
        <v>889.850250216114</v>
      </c>
    </row>
    <row r="153" customFormat="false" ht="12.8" hidden="false" customHeight="false" outlineLevel="0" collapsed="false">
      <c r="B153" s="8" t="n">
        <v>35.6</v>
      </c>
      <c r="C153" s="8" t="n">
        <v>1</v>
      </c>
      <c r="D153" s="8" t="n">
        <f aca="false">(SQRT($D$114^2 + $D$117^2 + $D$116^2 + 2*$D$114*$D$117 + 2*$D$117*$C$119 - 2*($D$116 + C153)*($D$114 + $C$119 + $D$117) + 2*COS(RADIANS(180-B153))*SQRT($C$119^2 + 2*$D$114*$C$119)*SQRT(C153^2 + 2*$D$116*C153)) - $D$115) * 1000</f>
        <v>7205.20031696287</v>
      </c>
    </row>
    <row r="154" customFormat="false" ht="12.8" hidden="false" customHeight="false" outlineLevel="0" collapsed="false">
      <c r="B154" s="8"/>
      <c r="C154" s="8" t="n">
        <v>5</v>
      </c>
      <c r="D154" s="8" t="n">
        <f aca="false">(SQRT($D$114^2 + $D$117^2 + $D$116^2 + 2*$D$114*$D$117 + 2*$D$117*$C$119 - 2*($D$116 + C154)*($D$114 + $C$119 + $D$117) + 2*COS(RADIANS(180-B154))*SQRT($C$119^2 + 2*$D$114*$C$119)*SQRT(C154^2 + 2*$D$116*C154)) - $D$115) * 1000</f>
        <v>-5361.28993425518</v>
      </c>
    </row>
    <row r="155" customFormat="false" ht="12.8" hidden="false" customHeight="false" outlineLevel="0" collapsed="false">
      <c r="B155" s="8"/>
      <c r="C155" s="8" t="n">
        <v>2.6</v>
      </c>
      <c r="D155" s="8" t="n">
        <f aca="false">(SQRT($D$114^2 + $D$117^2 + $D$116^2 + 2*$D$114*$D$117 + 2*$D$117*$C$119 - 2*($D$116 + C155)*($D$114 + $C$119 + $D$117) + 2*COS(RADIANS(180-B155))*SQRT($C$119^2 + 2*$D$114*$C$119)*SQRT(C155^2 + 2*$D$116*C155)) - $D$115) * 1000</f>
        <v>889.850250216114</v>
      </c>
    </row>
    <row r="156" customFormat="false" ht="12.8" hidden="false" customHeight="false" outlineLevel="0" collapsed="false">
      <c r="B156" s="8" t="n">
        <v>36.9</v>
      </c>
      <c r="C156" s="8" t="n">
        <v>1</v>
      </c>
      <c r="D156" s="8" t="n">
        <f aca="false">(SQRT($D$114^2 + $D$117^2 + $D$116^2 + 2*$D$114*$D$117 + 2*$D$117*$C$119 - 2*($D$116 + C156)*($D$114 + $C$119 + $D$117) + 2*COS(RADIANS(180-B156))*SQRT($C$119^2 + 2*$D$114*$C$119)*SQRT(C156^2 + 2*$D$116*C156)) - $D$115) * 1000</f>
        <v>7280.38461062533</v>
      </c>
    </row>
    <row r="157" customFormat="false" ht="12.8" hidden="false" customHeight="false" outlineLevel="0" collapsed="false">
      <c r="B157" s="8"/>
      <c r="C157" s="8" t="n">
        <v>5</v>
      </c>
      <c r="D157" s="8" t="n">
        <f aca="false">(SQRT($D$114^2 + $D$117^2 + $D$116^2 + 2*$D$114*$D$117 + 2*$D$117*$C$119 - 2*($D$116 + C157)*($D$114 + $C$119 + $D$117) + 2*COS(RADIANS(180-B157))*SQRT($C$119^2 + 2*$D$114*$C$119)*SQRT(C157^2 + 2*$D$116*C157)) - $D$115) * 1000</f>
        <v>-5361.28993425518</v>
      </c>
    </row>
    <row r="158" customFormat="false" ht="12.8" hidden="false" customHeight="false" outlineLevel="0" collapsed="false">
      <c r="B158" s="8"/>
      <c r="C158" s="8" t="n">
        <v>2.6</v>
      </c>
      <c r="D158" s="8" t="n">
        <f aca="false">(SQRT($D$114^2 + $D$117^2 + $D$116^2 + 2*$D$114*$D$117 + 2*$D$117*$C$119 - 2*($D$116 + C158)*($D$114 + $C$119 + $D$117) + 2*COS(RADIANS(180-B158))*SQRT($C$119^2 + 2*$D$114*$C$119)*SQRT(C158^2 + 2*$D$116*C158)) - $D$115) * 1000</f>
        <v>889.850250216114</v>
      </c>
    </row>
    <row r="159" customFormat="false" ht="12.8" hidden="false" customHeight="false" outlineLevel="0" collapsed="false">
      <c r="B159" s="8" t="n">
        <v>38.1</v>
      </c>
      <c r="C159" s="8" t="n">
        <v>1</v>
      </c>
      <c r="D159" s="8" t="n">
        <f aca="false">(SQRT($D$114^2 + $D$117^2 + $D$116^2 + 2*$D$114*$D$117 + 2*$D$117*$C$119 - 2*($D$116 + C159)*($D$114 + $C$119 + $D$117) + 2*COS(RADIANS(180-B159))*SQRT($C$119^2 + 2*$D$114*$C$119)*SQRT(C159^2 + 2*$D$116*C159)) - $D$115) * 1000</f>
        <v>7351.83373833934</v>
      </c>
    </row>
    <row r="160" customFormat="false" ht="12.8" hidden="false" customHeight="false" outlineLevel="0" collapsed="false">
      <c r="B160" s="8"/>
      <c r="C160" s="8" t="n">
        <v>5</v>
      </c>
      <c r="D160" s="8" t="n">
        <f aca="false">(SQRT($D$114^2 + $D$117^2 + $D$116^2 + 2*$D$114*$D$117 + 2*$D$117*$C$119 - 2*($D$116 + C160)*($D$114 + $C$119 + $D$117) + 2*COS(RADIANS(180-B160))*SQRT($C$119^2 + 2*$D$114*$C$119)*SQRT(C160^2 + 2*$D$116*C160)) - $D$115) * 1000</f>
        <v>-5361.28993425518</v>
      </c>
    </row>
    <row r="161" customFormat="false" ht="12.8" hidden="false" customHeight="false" outlineLevel="0" collapsed="false">
      <c r="B161" s="8"/>
      <c r="C161" s="8" t="n">
        <v>2.6</v>
      </c>
      <c r="D161" s="8" t="n">
        <f aca="false">(SQRT($D$114^2 + $D$117^2 + $D$116^2 + 2*$D$114*$D$117 + 2*$D$117*$C$119 - 2*($D$116 + C161)*($D$114 + $C$119 + $D$117) + 2*COS(RADIANS(180-B161))*SQRT($C$119^2 + 2*$D$114*$C$119)*SQRT(C161^2 + 2*$D$116*C161)) - $D$115) * 1000</f>
        <v>889.850250216114</v>
      </c>
    </row>
    <row r="162" customFormat="false" ht="12.8" hidden="false" customHeight="false" outlineLevel="0" collapsed="false">
      <c r="B162" s="8" t="n">
        <v>39.2</v>
      </c>
      <c r="C162" s="8" t="n">
        <v>1</v>
      </c>
      <c r="D162" s="8" t="n">
        <f aca="false">(SQRT($D$114^2 + $D$117^2 + $D$116^2 + 2*$D$114*$D$117 + 2*$D$117*$C$119 - 2*($D$116 + C162)*($D$114 + $C$119 + $D$117) + 2*COS(RADIANS(180-B162))*SQRT($C$119^2 + 2*$D$114*$C$119)*SQRT(C162^2 + 2*$D$116*C162)) - $D$115) * 1000</f>
        <v>7419.02860349728</v>
      </c>
    </row>
    <row r="163" customFormat="false" ht="12.8" hidden="false" customHeight="false" outlineLevel="0" collapsed="false">
      <c r="B163" s="8"/>
      <c r="C163" s="8" t="n">
        <v>5</v>
      </c>
      <c r="D163" s="8" t="n">
        <f aca="false">(SQRT($D$114^2 + $D$117^2 + $D$116^2 + 2*$D$114*$D$117 + 2*$D$117*$C$119 - 2*($D$116 + C163)*($D$114 + $C$119 + $D$117) + 2*COS(RADIANS(180-B163))*SQRT($C$119^2 + 2*$D$114*$C$119)*SQRT(C163^2 + 2*$D$116*C163)) - $D$115) * 1000</f>
        <v>-5361.28993425518</v>
      </c>
    </row>
    <row r="164" customFormat="false" ht="12.8" hidden="false" customHeight="false" outlineLevel="0" collapsed="false">
      <c r="B164" s="8"/>
      <c r="C164" s="8" t="n">
        <v>2.6</v>
      </c>
      <c r="D164" s="8" t="n">
        <f aca="false">(SQRT($D$114^2 + $D$117^2 + $D$116^2 + 2*$D$114*$D$117 + 2*$D$117*$C$119 - 2*($D$116 + C164)*($D$114 + $C$119 + $D$117) + 2*COS(RADIANS(180-B164))*SQRT($C$119^2 + 2*$D$114*$C$119)*SQRT(C164^2 + 2*$D$116*C164)) - $D$115) * 1000</f>
        <v>889.850250216114</v>
      </c>
    </row>
    <row r="165" customFormat="false" ht="12.8" hidden="false" customHeight="false" outlineLevel="0" collapsed="false">
      <c r="B165" s="8" t="n">
        <v>40.3</v>
      </c>
      <c r="C165" s="8" t="n">
        <v>1</v>
      </c>
      <c r="D165" s="8" t="n">
        <f aca="false">(SQRT($D$114^2 + $D$117^2 + $D$116^2 + 2*$D$114*$D$117 + 2*$D$117*$C$119 - 2*($D$116 + C165)*($D$114 + $C$119 + $D$117) + 2*COS(RADIANS(180-B165))*SQRT($C$119^2 + 2*$D$114*$C$119)*SQRT(C165^2 + 2*$D$116*C165)) - $D$115) * 1000</f>
        <v>7487.82387434403</v>
      </c>
    </row>
    <row r="166" customFormat="false" ht="12.8" hidden="false" customHeight="false" outlineLevel="0" collapsed="false">
      <c r="B166" s="8"/>
      <c r="C166" s="8" t="n">
        <v>5</v>
      </c>
      <c r="D166" s="8" t="n">
        <f aca="false">(SQRT($D$114^2 + $D$117^2 + $D$116^2 + 2*$D$114*$D$117 + 2*$D$117*$C$119 - 2*($D$116 + C166)*($D$114 + $C$119 + $D$117) + 2*COS(RADIANS(180-B166))*SQRT($C$119^2 + 2*$D$114*$C$119)*SQRT(C166^2 + 2*$D$116*C166)) - $D$115) * 1000</f>
        <v>-5361.28993425518</v>
      </c>
    </row>
    <row r="167" customFormat="false" ht="12.8" hidden="false" customHeight="false" outlineLevel="0" collapsed="false">
      <c r="B167" s="8"/>
      <c r="C167" s="8" t="n">
        <v>2.6</v>
      </c>
      <c r="D167" s="8" t="n">
        <f aca="false">(SQRT($D$114^2 + $D$117^2 + $D$116^2 + 2*$D$114*$D$117 + 2*$D$117*$C$119 - 2*($D$116 + C167)*($D$114 + $C$119 + $D$117) + 2*COS(RADIANS(180-B167))*SQRT($C$119^2 + 2*$D$114*$C$119)*SQRT(C167^2 + 2*$D$116*C167)) - $D$115) * 1000</f>
        <v>889.850250216114</v>
      </c>
    </row>
    <row r="168" customFormat="false" ht="12.8" hidden="false" customHeight="false" outlineLevel="0" collapsed="false">
      <c r="B168" s="8" t="n">
        <v>41.4</v>
      </c>
      <c r="C168" s="8" t="n">
        <v>1</v>
      </c>
      <c r="D168" s="8" t="n">
        <f aca="false">(SQRT($D$114^2 + $D$117^2 + $D$116^2 + 2*$D$114*$D$117 + 2*$D$117*$C$119 - 2*($D$116 + C168)*($D$114 + $C$119 + $D$117) + 2*COS(RADIANS(180-B168))*SQRT($C$119^2 + 2*$D$114*$C$119)*SQRT(C168^2 + 2*$D$116*C168)) - $D$115) * 1000</f>
        <v>7558.19417786915</v>
      </c>
    </row>
    <row r="169" customFormat="false" ht="12.8" hidden="false" customHeight="false" outlineLevel="0" collapsed="false">
      <c r="B169" s="8"/>
      <c r="C169" s="8" t="n">
        <v>5</v>
      </c>
      <c r="D169" s="8" t="n">
        <f aca="false">(SQRT($D$114^2 + $D$117^2 + $D$116^2 + 2*$D$114*$D$117 + 2*$D$117*$C$119 - 2*($D$116 + C169)*($D$114 + $C$119 + $D$117) + 2*COS(RADIANS(180-B169))*SQRT($C$119^2 + 2*$D$114*$C$119)*SQRT(C169^2 + 2*$D$116*C169)) - $D$115) * 1000</f>
        <v>-5361.28993425518</v>
      </c>
    </row>
    <row r="170" customFormat="false" ht="12.8" hidden="false" customHeight="false" outlineLevel="0" collapsed="false">
      <c r="B170" s="8"/>
      <c r="C170" s="8" t="n">
        <v>2.6</v>
      </c>
      <c r="D170" s="8" t="n">
        <f aca="false">(SQRT($D$114^2 + $D$117^2 + $D$116^2 + 2*$D$114*$D$117 + 2*$D$117*$C$119 - 2*($D$116 + C170)*($D$114 + $C$119 + $D$117) + 2*COS(RADIANS(180-B170))*SQRT($C$119^2 + 2*$D$114*$C$119)*SQRT(C170^2 + 2*$D$116*C170)) - $D$115) * 1000</f>
        <v>889.850250216114</v>
      </c>
    </row>
    <row r="171" customFormat="false" ht="12.8" hidden="false" customHeight="false" outlineLevel="0" collapsed="false">
      <c r="B171" s="8" t="n">
        <v>42.5</v>
      </c>
      <c r="C171" s="8" t="n">
        <v>1</v>
      </c>
      <c r="D171" s="8" t="n">
        <f aca="false">(SQRT($D$114^2 + $D$117^2 + $D$116^2 + 2*$D$114*$D$117 + 2*$D$117*$C$119 - 2*($D$116 + C171)*($D$114 + $C$119 + $D$117) + 2*COS(RADIANS(180-B171))*SQRT($C$119^2 + 2*$D$114*$C$119)*SQRT(C171^2 + 2*$D$116*C171)) - $D$115) * 1000</f>
        <v>7630.11356043353</v>
      </c>
    </row>
    <row r="172" customFormat="false" ht="12.8" hidden="false" customHeight="false" outlineLevel="0" collapsed="false">
      <c r="B172" s="8"/>
      <c r="C172" s="8" t="n">
        <v>5</v>
      </c>
      <c r="D172" s="8" t="n">
        <f aca="false">(SQRT($D$114^2 + $D$117^2 + $D$116^2 + 2*$D$114*$D$117 + 2*$D$117*$C$119 - 2*($D$116 + C172)*($D$114 + $C$119 + $D$117) + 2*COS(RADIANS(180-B172))*SQRT($C$119^2 + 2*$D$114*$C$119)*SQRT(C172^2 + 2*$D$116*C172)) - $D$115) * 1000</f>
        <v>-5361.28993425518</v>
      </c>
    </row>
    <row r="173" customFormat="false" ht="12.8" hidden="false" customHeight="false" outlineLevel="0" collapsed="false">
      <c r="B173" s="8"/>
      <c r="C173" s="8" t="n">
        <v>2.6</v>
      </c>
      <c r="D173" s="8" t="n">
        <f aca="false">(SQRT($D$114^2 + $D$117^2 + $D$116^2 + 2*$D$114*$D$117 + 2*$D$117*$C$119 - 2*($D$116 + C173)*($D$114 + $C$119 + $D$117) + 2*COS(RADIANS(180-B173))*SQRT($C$119^2 + 2*$D$114*$C$119)*SQRT(C173^2 + 2*$D$116*C173)) - $D$115) * 1000</f>
        <v>889.850250216114</v>
      </c>
    </row>
    <row r="174" customFormat="false" ht="12.8" hidden="false" customHeight="false" outlineLevel="0" collapsed="false">
      <c r="B174" s="8" t="n">
        <v>43.5</v>
      </c>
      <c r="C174" s="8" t="n">
        <v>1</v>
      </c>
      <c r="D174" s="8" t="n">
        <f aca="false">(SQRT($D$114^2 + $D$117^2 + $D$116^2 + 2*$D$114*$D$117 + 2*$D$117*$C$119 - 2*($D$116 + C174)*($D$114 + $C$119 + $D$117) + 2*COS(RADIANS(180-B174))*SQRT($C$119^2 + 2*$D$114*$C$119)*SQRT(C174^2 + 2*$D$116*C174)) - $D$115) * 1000</f>
        <v>7696.81675044194</v>
      </c>
    </row>
    <row r="175" customFormat="false" ht="12.8" hidden="false" customHeight="false" outlineLevel="0" collapsed="false">
      <c r="B175" s="8"/>
      <c r="C175" s="8" t="n">
        <v>5</v>
      </c>
      <c r="D175" s="8" t="n">
        <f aca="false">(SQRT($D$114^2 + $D$117^2 + $D$116^2 + 2*$D$114*$D$117 + 2*$D$117*$C$119 - 2*($D$116 + C175)*($D$114 + $C$119 + $D$117) + 2*COS(RADIANS(180-B175))*SQRT($C$119^2 + 2*$D$114*$C$119)*SQRT(C175^2 + 2*$D$116*C175)) - $D$115) * 1000</f>
        <v>-5361.28993425518</v>
      </c>
    </row>
    <row r="176" customFormat="false" ht="12.8" hidden="false" customHeight="false" outlineLevel="0" collapsed="false">
      <c r="B176" s="8"/>
      <c r="C176" s="8" t="n">
        <v>2.6</v>
      </c>
      <c r="D176" s="8" t="n">
        <f aca="false">(SQRT($D$114^2 + $D$117^2 + $D$116^2 + 2*$D$114*$D$117 + 2*$D$117*$C$119 - 2*($D$116 + C176)*($D$114 + $C$119 + $D$117) + 2*COS(RADIANS(180-B176))*SQRT($C$119^2 + 2*$D$114*$C$119)*SQRT(C176^2 + 2*$D$116*C176)) - $D$115) * 1000</f>
        <v>889.850250216114</v>
      </c>
    </row>
    <row r="177" customFormat="false" ht="12.8" hidden="false" customHeight="false" outlineLevel="0" collapsed="false">
      <c r="B177" s="8" t="n">
        <v>44.5</v>
      </c>
      <c r="C177" s="8" t="n">
        <v>1</v>
      </c>
      <c r="D177" s="8" t="n">
        <f aca="false">(SQRT($D$114^2 + $D$117^2 + $D$116^2 + 2*$D$114*$D$117 + 2*$D$117*$C$119 - 2*($D$116 + C177)*($D$114 + $C$119 + $D$117) + 2*COS(RADIANS(180-B177))*SQRT($C$119^2 + 2*$D$114*$C$119)*SQRT(C177^2 + 2*$D$116*C177)) - $D$115) * 1000</f>
        <v>7764.75792535348</v>
      </c>
    </row>
    <row r="178" customFormat="false" ht="12.8" hidden="false" customHeight="false" outlineLevel="0" collapsed="false">
      <c r="B178" s="8"/>
      <c r="C178" s="8" t="n">
        <v>5</v>
      </c>
      <c r="D178" s="8" t="n">
        <f aca="false">(SQRT($D$114^2 + $D$117^2 + $D$116^2 + 2*$D$114*$D$117 + 2*$D$117*$C$119 - 2*($D$116 + C178)*($D$114 + $C$119 + $D$117) + 2*COS(RADIANS(180-B178))*SQRT($C$119^2 + 2*$D$114*$C$119)*SQRT(C178^2 + 2*$D$116*C178)) - $D$115) * 1000</f>
        <v>-5361.28993425518</v>
      </c>
    </row>
    <row r="179" customFormat="false" ht="12.8" hidden="false" customHeight="false" outlineLevel="0" collapsed="false">
      <c r="B179" s="8"/>
      <c r="C179" s="8" t="n">
        <v>2.6</v>
      </c>
      <c r="D179" s="8" t="n">
        <f aca="false">(SQRT($D$114^2 + $D$117^2 + $D$116^2 + 2*$D$114*$D$117 + 2*$D$117*$C$119 - 2*($D$116 + C179)*($D$114 + $C$119 + $D$117) + 2*COS(RADIANS(180-B179))*SQRT($C$119^2 + 2*$D$114*$C$119)*SQRT(C179^2 + 2*$D$116*C179)) - $D$115) * 1000</f>
        <v>889.850250216114</v>
      </c>
    </row>
    <row r="180" customFormat="false" ht="12.8" hidden="false" customHeight="false" outlineLevel="0" collapsed="false">
      <c r="B180" s="8" t="n">
        <v>45.4</v>
      </c>
      <c r="C180" s="8" t="n">
        <v>1</v>
      </c>
      <c r="D180" s="8" t="n">
        <f aca="false">(SQRT($D$114^2 + $D$117^2 + $D$116^2 + 2*$D$114*$D$117 + 2*$D$117*$C$119 - 2*($D$116 + C180)*($D$114 + $C$119 + $D$117) + 2*COS(RADIANS(180-B180))*SQRT($C$119^2 + 2*$D$114*$C$119)*SQRT(C180^2 + 2*$D$116*C180)) - $D$115) * 1000</f>
        <v>7826.94635212465</v>
      </c>
    </row>
    <row r="181" customFormat="false" ht="12.8" hidden="false" customHeight="false" outlineLevel="0" collapsed="false">
      <c r="B181" s="8"/>
      <c r="C181" s="8" t="n">
        <v>5</v>
      </c>
      <c r="D181" s="8" t="n">
        <f aca="false">(SQRT($D$114^2 + $D$117^2 + $D$116^2 + 2*$D$114*$D$117 + 2*$D$117*$C$119 - 2*($D$116 + C181)*($D$114 + $C$119 + $D$117) + 2*COS(RADIANS(180-B181))*SQRT($C$119^2 + 2*$D$114*$C$119)*SQRT(C181^2 + 2*$D$116*C181)) - $D$115) * 1000</f>
        <v>-5361.28993425518</v>
      </c>
    </row>
    <row r="182" customFormat="false" ht="12.8" hidden="false" customHeight="false" outlineLevel="0" collapsed="false">
      <c r="B182" s="8"/>
      <c r="C182" s="8" t="n">
        <v>2.6</v>
      </c>
      <c r="D182" s="8" t="n">
        <f aca="false">(SQRT($D$114^2 + $D$117^2 + $D$116^2 + 2*$D$114*$D$117 + 2*$D$117*$C$119 - 2*($D$116 + C182)*($D$114 + $C$119 + $D$117) + 2*COS(RADIANS(180-B182))*SQRT($C$119^2 + 2*$D$114*$C$119)*SQRT(C182^2 + 2*$D$116*C182)) - $D$115) * 1000</f>
        <v>889.850250216114</v>
      </c>
    </row>
    <row r="183" customFormat="false" ht="12.8" hidden="false" customHeight="false" outlineLevel="0" collapsed="false">
      <c r="B183" s="8" t="n">
        <v>46.3</v>
      </c>
      <c r="C183" s="8" t="n">
        <v>1</v>
      </c>
      <c r="D183" s="8" t="n">
        <f aca="false">(SQRT($D$114^2 + $D$117^2 + $D$116^2 + 2*$D$114*$D$117 + 2*$D$117*$C$119 - 2*($D$116 + C183)*($D$114 + $C$119 + $D$117) + 2*COS(RADIANS(180-B183))*SQRT($C$119^2 + 2*$D$114*$C$119)*SQRT(C183^2 + 2*$D$116*C183)) - $D$115) * 1000</f>
        <v>7890.10542429242</v>
      </c>
    </row>
    <row r="184" customFormat="false" ht="12.8" hidden="false" customHeight="false" outlineLevel="0" collapsed="false">
      <c r="B184" s="8"/>
      <c r="C184" s="8" t="n">
        <v>5</v>
      </c>
      <c r="D184" s="8" t="n">
        <f aca="false">(SQRT($D$114^2 + $D$117^2 + $D$116^2 + 2*$D$114*$D$117 + 2*$D$117*$C$119 - 2*($D$116 + C184)*($D$114 + $C$119 + $D$117) + 2*COS(RADIANS(180-B184))*SQRT($C$119^2 + 2*$D$114*$C$119)*SQRT(C184^2 + 2*$D$116*C184)) - $D$115) * 1000</f>
        <v>-5361.28993425518</v>
      </c>
    </row>
    <row r="185" customFormat="false" ht="12.8" hidden="false" customHeight="false" outlineLevel="0" collapsed="false">
      <c r="B185" s="8"/>
      <c r="C185" s="8" t="n">
        <v>2.6</v>
      </c>
      <c r="D185" s="8" t="n">
        <f aca="false">(SQRT($D$114^2 + $D$117^2 + $D$116^2 + 2*$D$114*$D$117 + 2*$D$117*$C$119 - 2*($D$116 + C185)*($D$114 + $C$119 + $D$117) + 2*COS(RADIANS(180-B185))*SQRT($C$119^2 + 2*$D$114*$C$119)*SQRT(C185^2 + 2*$D$116*C185)) - $D$115) * 1000</f>
        <v>889.850250216114</v>
      </c>
    </row>
    <row r="186" customFormat="false" ht="12.8" hidden="false" customHeight="false" outlineLevel="0" collapsed="false">
      <c r="B186" s="8" t="n">
        <v>47.2</v>
      </c>
      <c r="C186" s="8" t="n">
        <v>1</v>
      </c>
      <c r="D186" s="8" t="n">
        <f aca="false">(SQRT($D$114^2 + $D$117^2 + $D$116^2 + 2*$D$114*$D$117 + 2*$D$117*$C$119 - 2*($D$116 + C186)*($D$114 + $C$119 + $D$117) + 2*COS(RADIANS(180-B186))*SQRT($C$119^2 + 2*$D$114*$C$119)*SQRT(C186^2 + 2*$D$116*C186)) - $D$115) * 1000</f>
        <v>7954.21954897756</v>
      </c>
    </row>
    <row r="187" customFormat="false" ht="12.8" hidden="false" customHeight="false" outlineLevel="0" collapsed="false">
      <c r="B187" s="8"/>
      <c r="C187" s="8" t="n">
        <v>5</v>
      </c>
      <c r="D187" s="8" t="n">
        <f aca="false">(SQRT($D$114^2 + $D$117^2 + $D$116^2 + 2*$D$114*$D$117 + 2*$D$117*$C$119 - 2*($D$116 + C187)*($D$114 + $C$119 + $D$117) + 2*COS(RADIANS(180-B187))*SQRT($C$119^2 + 2*$D$114*$C$119)*SQRT(C187^2 + 2*$D$116*C187)) - $D$115) * 1000</f>
        <v>-5361.28993425518</v>
      </c>
    </row>
    <row r="188" customFormat="false" ht="12.8" hidden="false" customHeight="false" outlineLevel="0" collapsed="false">
      <c r="B188" s="8"/>
      <c r="C188" s="8" t="n">
        <v>2.6</v>
      </c>
      <c r="D188" s="8" t="n">
        <f aca="false">(SQRT($D$114^2 + $D$117^2 + $D$116^2 + 2*$D$114*$D$117 + 2*$D$117*$C$119 - 2*($D$116 + C188)*($D$114 + $C$119 + $D$117) + 2*COS(RADIANS(180-B188))*SQRT($C$119^2 + 2*$D$114*$C$119)*SQRT(C188^2 + 2*$D$116*C188)) - $D$115) * 1000</f>
        <v>889.850250216114</v>
      </c>
    </row>
    <row r="189" customFormat="false" ht="12.8" hidden="false" customHeight="false" outlineLevel="0" collapsed="false">
      <c r="B189" s="8" t="n">
        <v>48.1</v>
      </c>
      <c r="C189" s="8" t="n">
        <v>1</v>
      </c>
      <c r="D189" s="8" t="n">
        <f aca="false">(SQRT($D$114^2 + $D$117^2 + $D$116^2 + 2*$D$114*$D$117 + 2*$D$117*$C$119 - 2*($D$116 + C189)*($D$114 + $C$119 + $D$117) + 2*COS(RADIANS(180-B189))*SQRT($C$119^2 + 2*$D$114*$C$119)*SQRT(C189^2 + 2*$D$116*C189)) - $D$115) * 1000</f>
        <v>8019.27289766536</v>
      </c>
    </row>
    <row r="190" customFormat="false" ht="12.8" hidden="false" customHeight="false" outlineLevel="0" collapsed="false">
      <c r="B190" s="8"/>
      <c r="C190" s="8" t="n">
        <v>5</v>
      </c>
      <c r="D190" s="8" t="n">
        <f aca="false">(SQRT($D$114^2 + $D$117^2 + $D$116^2 + 2*$D$114*$D$117 + 2*$D$117*$C$119 - 2*($D$116 + C190)*($D$114 + $C$119 + $D$117) + 2*COS(RADIANS(180-B190))*SQRT($C$119^2 + 2*$D$114*$C$119)*SQRT(C190^2 + 2*$D$116*C190)) - $D$115) * 1000</f>
        <v>-5361.28993425518</v>
      </c>
    </row>
    <row r="191" customFormat="false" ht="12.8" hidden="false" customHeight="false" outlineLevel="0" collapsed="false">
      <c r="B191" s="8"/>
      <c r="C191" s="8" t="n">
        <v>2.6</v>
      </c>
      <c r="D191" s="8" t="n">
        <f aca="false">(SQRT($D$114^2 + $D$117^2 + $D$116^2 + 2*$D$114*$D$117 + 2*$D$117*$C$119 - 2*($D$116 + C191)*($D$114 + $C$119 + $D$117) + 2*COS(RADIANS(180-B191))*SQRT($C$119^2 + 2*$D$114*$C$119)*SQRT(C191^2 + 2*$D$116*C191)) - $D$115) * 1000</f>
        <v>889.850250216114</v>
      </c>
    </row>
    <row r="192" customFormat="false" ht="12.8" hidden="false" customHeight="false" outlineLevel="0" collapsed="false">
      <c r="B192" s="8" t="n">
        <v>49</v>
      </c>
      <c r="C192" s="13" t="n">
        <v>1</v>
      </c>
      <c r="D192" s="8" t="n">
        <f aca="false">(SQRT($D$114^2 + $D$117^2 + $D$116^2 + 2*$D$114*$D$117 + 2*$D$117*$C$119 - 2*($D$116 + C192)*($D$114 + $C$119 + $D$117) + 2*COS(RADIANS(180-B192))*SQRT($C$119^2 + 2*$D$114*$C$119)*SQRT(C192^2 + 2*$D$116*C192)) - $D$115) * 1000</f>
        <v>8085.2494101382</v>
      </c>
    </row>
    <row r="193" customFormat="false" ht="12.8" hidden="false" customHeight="false" outlineLevel="0" collapsed="false">
      <c r="B193" s="8"/>
      <c r="C193" s="13" t="n">
        <v>5</v>
      </c>
      <c r="D193" s="8" t="n">
        <f aca="false">(SQRT($D$114^2 + $D$117^2 + $D$116^2 + 2*$D$114*$D$117 + 2*$D$117*$C$119 - 2*($D$116 + C193)*($D$114 + $C$119 + $D$117) + 2*COS(RADIANS(180-B193))*SQRT($C$119^2 + 2*$D$114*$C$119)*SQRT(C193^2 + 2*$D$116*C193)) - $D$115) * 1000</f>
        <v>-5361.28993425518</v>
      </c>
    </row>
    <row r="194" customFormat="false" ht="12.8" hidden="false" customHeight="false" outlineLevel="0" collapsed="false">
      <c r="B194" s="8"/>
      <c r="C194" s="13" t="n">
        <v>2.6</v>
      </c>
      <c r="D194" s="8" t="n">
        <f aca="false">(SQRT($D$114^2 + $D$117^2 + $D$116^2 + 2*$D$114*$D$117 + 2*$D$117*$C$119 - 2*($D$116 + C194)*($D$114 + $C$119 + $D$117) + 2*COS(RADIANS(180-B194))*SQRT($C$119^2 + 2*$D$114*$C$119)*SQRT(C194^2 + 2*$D$116*C194)) - $D$115) * 1000</f>
        <v>889.850250216114</v>
      </c>
    </row>
  </sheetData>
  <mergeCells count="162">
    <mergeCell ref="B2:B4"/>
    <mergeCell ref="F2:F4"/>
    <mergeCell ref="H2:H4"/>
    <mergeCell ref="J2:J4"/>
    <mergeCell ref="K2:K97"/>
    <mergeCell ref="L2:L97"/>
    <mergeCell ref="M2:M97"/>
    <mergeCell ref="N2:N97"/>
    <mergeCell ref="O2:O97"/>
    <mergeCell ref="P2:P97"/>
    <mergeCell ref="Q2:Q97"/>
    <mergeCell ref="R2:R97"/>
    <mergeCell ref="B5:B7"/>
    <mergeCell ref="F5:F7"/>
    <mergeCell ref="H5:H7"/>
    <mergeCell ref="J5:J7"/>
    <mergeCell ref="B8:B10"/>
    <mergeCell ref="F8:F10"/>
    <mergeCell ref="H8:H10"/>
    <mergeCell ref="J8:J10"/>
    <mergeCell ref="B11:B13"/>
    <mergeCell ref="F11:F13"/>
    <mergeCell ref="H11:H13"/>
    <mergeCell ref="J11:J13"/>
    <mergeCell ref="B14:B16"/>
    <mergeCell ref="F14:F16"/>
    <mergeCell ref="H14:H16"/>
    <mergeCell ref="J14:J16"/>
    <mergeCell ref="B17:B19"/>
    <mergeCell ref="F17:F19"/>
    <mergeCell ref="H17:H19"/>
    <mergeCell ref="J17:J19"/>
    <mergeCell ref="B20:B22"/>
    <mergeCell ref="F20:F22"/>
    <mergeCell ref="H20:H22"/>
    <mergeCell ref="J20:J22"/>
    <mergeCell ref="B23:B25"/>
    <mergeCell ref="F23:F25"/>
    <mergeCell ref="H23:H25"/>
    <mergeCell ref="J23:J25"/>
    <mergeCell ref="B26:B28"/>
    <mergeCell ref="F26:F28"/>
    <mergeCell ref="H26:H28"/>
    <mergeCell ref="J26:J28"/>
    <mergeCell ref="B29:B31"/>
    <mergeCell ref="F29:F31"/>
    <mergeCell ref="H29:H31"/>
    <mergeCell ref="J29:J31"/>
    <mergeCell ref="B32:B34"/>
    <mergeCell ref="F32:F34"/>
    <mergeCell ref="H32:H34"/>
    <mergeCell ref="J32:J34"/>
    <mergeCell ref="B35:B37"/>
    <mergeCell ref="F35:F37"/>
    <mergeCell ref="H35:H37"/>
    <mergeCell ref="J35:J37"/>
    <mergeCell ref="B38:B40"/>
    <mergeCell ref="F38:F40"/>
    <mergeCell ref="H38:H40"/>
    <mergeCell ref="J38:J40"/>
    <mergeCell ref="B41:B43"/>
    <mergeCell ref="F41:F43"/>
    <mergeCell ref="H41:H43"/>
    <mergeCell ref="J41:J43"/>
    <mergeCell ref="B44:B46"/>
    <mergeCell ref="F44:F46"/>
    <mergeCell ref="H44:H46"/>
    <mergeCell ref="J44:J46"/>
    <mergeCell ref="B47:B49"/>
    <mergeCell ref="F47:F49"/>
    <mergeCell ref="H47:H49"/>
    <mergeCell ref="J47:J49"/>
    <mergeCell ref="B50:B52"/>
    <mergeCell ref="F50:F52"/>
    <mergeCell ref="H50:H52"/>
    <mergeCell ref="J50:J52"/>
    <mergeCell ref="B53:B55"/>
    <mergeCell ref="C53:J55"/>
    <mergeCell ref="F53:F55"/>
    <mergeCell ref="H53:H55"/>
    <mergeCell ref="J53:J55"/>
    <mergeCell ref="B56:B58"/>
    <mergeCell ref="F56:F58"/>
    <mergeCell ref="H56:H58"/>
    <mergeCell ref="J56:J58"/>
    <mergeCell ref="B59:B61"/>
    <mergeCell ref="C59:J61"/>
    <mergeCell ref="F59:F61"/>
    <mergeCell ref="H59:H61"/>
    <mergeCell ref="J59:J61"/>
    <mergeCell ref="B62:B64"/>
    <mergeCell ref="F62:F64"/>
    <mergeCell ref="H62:H64"/>
    <mergeCell ref="J62:J64"/>
    <mergeCell ref="B65:B67"/>
    <mergeCell ref="F65:F67"/>
    <mergeCell ref="H65:H67"/>
    <mergeCell ref="J65:J67"/>
    <mergeCell ref="B68:B70"/>
    <mergeCell ref="F68:F70"/>
    <mergeCell ref="H68:H70"/>
    <mergeCell ref="J68:J70"/>
    <mergeCell ref="B71:B73"/>
    <mergeCell ref="F71:F73"/>
    <mergeCell ref="H71:H73"/>
    <mergeCell ref="J71:J73"/>
    <mergeCell ref="B74:B76"/>
    <mergeCell ref="F74:F76"/>
    <mergeCell ref="H74:H76"/>
    <mergeCell ref="J74:J76"/>
    <mergeCell ref="B77:B79"/>
    <mergeCell ref="F77:F79"/>
    <mergeCell ref="H77:H79"/>
    <mergeCell ref="J77:J79"/>
    <mergeCell ref="B80:B82"/>
    <mergeCell ref="F80:F82"/>
    <mergeCell ref="H80:H82"/>
    <mergeCell ref="J80:J82"/>
    <mergeCell ref="B83:B85"/>
    <mergeCell ref="F83:F85"/>
    <mergeCell ref="H83:H85"/>
    <mergeCell ref="J83:J85"/>
    <mergeCell ref="B86:B88"/>
    <mergeCell ref="F86:F88"/>
    <mergeCell ref="H86:H88"/>
    <mergeCell ref="J86:J88"/>
    <mergeCell ref="B89:B91"/>
    <mergeCell ref="F89:F91"/>
    <mergeCell ref="H89:H91"/>
    <mergeCell ref="J89:J91"/>
    <mergeCell ref="B92:B94"/>
    <mergeCell ref="F92:F94"/>
    <mergeCell ref="H92:H94"/>
    <mergeCell ref="J92:J94"/>
    <mergeCell ref="B95:B97"/>
    <mergeCell ref="F95:F97"/>
    <mergeCell ref="H95:H97"/>
    <mergeCell ref="J95:J97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156:B158"/>
    <mergeCell ref="B159:B161"/>
    <mergeCell ref="B162:B164"/>
    <mergeCell ref="B165:B167"/>
    <mergeCell ref="B168:B170"/>
    <mergeCell ref="B171:B173"/>
    <mergeCell ref="B174:B176"/>
    <mergeCell ref="B177:B179"/>
    <mergeCell ref="B180:B182"/>
    <mergeCell ref="B183:B185"/>
    <mergeCell ref="B186:B188"/>
    <mergeCell ref="B189:B191"/>
    <mergeCell ref="B192:B19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2026-08-14T11:30:19Z</dcterms:created>
  <dc:creator/>
  <dc:description/>
  <dc:language>en-GB</dc:language>
  <cp:lastModifiedBy/>
  <dcterms:modified xsi:type="dcterms:W3CDTF">2026-08-16T11:14:39Z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