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<sst xmlns="http://schemas.openxmlformats.org/spreadsheetml/2006/main" count="145" uniqueCount="42">
  <si>
    <t xml:space="preserve">Sector #</t>
  </si>
  <si>
    <t xml:space="preserve">Alpha Source</t>
  </si>
  <si>
    <t xml:space="preserve">Dead Layer Thickness (um)</t>
  </si>
  <si>
    <t xml:space="preserve">Energy loss of 1 MeV triton (keV)</t>
  </si>
  <si>
    <t xml:space="preserve">Average energy loss of 1 MeV triton in sector (keV)</t>
  </si>
  <si>
    <t xml:space="preserve">Energy loss of 5 MeV triton (keV)</t>
  </si>
  <si>
    <t xml:space="preserve">Average energy loss of 5 MeV triton in sector (keV)</t>
  </si>
  <si>
    <t xml:space="preserve">Energy loss of 2.6 MeV triton (keV)</t>
  </si>
  <si>
    <t xml:space="preserve">Average energy loss of 2.6 MeV triton in sector (keV)</t>
  </si>
  <si>
    <t xml:space="preserve">Average dead layer thickness from 239Pu (um)</t>
  </si>
  <si>
    <t xml:space="preserve">Standard deviation (um)</t>
  </si>
  <si>
    <t xml:space="preserve">Average dead layer thickness from 241Am (um)</t>
  </si>
  <si>
    <t xml:space="preserve">Average dead layer thickness from 244Cm (um)</t>
  </si>
  <si>
    <t xml:space="preserve">Total average dead layer thickness (um)</t>
  </si>
  <si>
    <t xml:space="preserve">Uncertainty (um)</t>
  </si>
  <si>
    <t xml:space="preserve">Ring number #</t>
  </si>
  <si>
    <t xml:space="preserve">Lab angle of centre of ring (from -z) (deg)</t>
  </si>
  <si>
    <t xml:space="preserve">Effect on excitation energy (keV)</t>
  </si>
  <si>
    <t xml:space="preserve">239Pu</t>
  </si>
  <si>
    <t xml:space="preserve">241Am</t>
  </si>
  <si>
    <t xml:space="preserve">244Cm</t>
  </si>
  <si>
    <t xml:space="preserve">FAULTY</t>
  </si>
  <si>
    <t xml:space="preserve">Projectile</t>
  </si>
  <si>
    <t xml:space="preserve">Energy (MeV)</t>
  </si>
  <si>
    <t xml:space="preserve">Stopping medium</t>
  </si>
  <si>
    <t xml:space="preserve">Stopping power (keV/um)</t>
  </si>
  <si>
    <t xml:space="preserve">Alpha</t>
  </si>
  <si>
    <t xml:space="preserve">Si</t>
  </si>
  <si>
    <t xml:space="preserve">Triton</t>
  </si>
  <si>
    <t xml:space="preserve">Excitation energy parameters</t>
  </si>
  <si>
    <t xml:space="preserve">Value</t>
  </si>
  <si>
    <t xml:space="preserve">Mass-energy (MeV)</t>
  </si>
  <si>
    <t xml:space="preserve">O17 mass (amu)</t>
  </si>
  <si>
    <t xml:space="preserve">Ne21 mass (amu)</t>
  </si>
  <si>
    <t xml:space="preserve">Triton mass (amu)</t>
  </si>
  <si>
    <t xml:space="preserve">Li7 mass (amu)</t>
  </si>
  <si>
    <t xml:space="preserve">Beam energy (MeV)</t>
  </si>
  <si>
    <t xml:space="preserve">Beam energy at centre of target (MeV)</t>
  </si>
  <si>
    <t xml:space="preserve">1 amu (MeV/c^2)</t>
  </si>
  <si>
    <t xml:space="preserve">Triton angle (deg from z axis)</t>
  </si>
  <si>
    <t xml:space="preserve">Triton energy (MeV)</t>
  </si>
  <si>
    <t xml:space="preserve">Excitation energy of 21Ne (keV)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</si>
</sst>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BF00"/>
        <bgColor rgb="FFFF9900"/>
      </patternFill>
    </fill>
    <fill>
      <patternFill patternType="solid">
        <fgColor rgb="FF800080"/>
        <bgColor rgb="FF800080"/>
      </patternFill>
    </fill>
    <fill>
      <patternFill patternType="solid">
        <fgColor rgb="FFEC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399600</xdr:colOff>
      <xdr:row>30</xdr:row>
      <xdr:rowOff>122760</xdr:rowOff>
    </xdr:from>
    <xdr:to>
      <xdr:col>25</xdr:col>
      <xdr:colOff>449640</xdr:colOff>
      <xdr:row>37</xdr:row>
      <xdr:rowOff>36360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6021800" y="5586480"/>
          <a:ext cx="5045760" cy="105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802800</xdr:colOff>
      <xdr:row>27</xdr:row>
      <xdr:rowOff>19080</xdr:rowOff>
    </xdr:from>
    <xdr:to>
      <xdr:col>23</xdr:col>
      <xdr:colOff>931680</xdr:colOff>
      <xdr:row>30</xdr:row>
      <xdr:rowOff>9360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8050760" y="4995000"/>
          <a:ext cx="1754280" cy="47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544680</xdr:colOff>
      <xdr:row>27</xdr:row>
      <xdr:rowOff>29880</xdr:rowOff>
    </xdr:from>
    <xdr:to>
      <xdr:col>29</xdr:col>
      <xdr:colOff>783720</xdr:colOff>
      <xdr:row>40</xdr:row>
      <xdr:rowOff>33120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1162600" y="5005800"/>
          <a:ext cx="3490200" cy="2116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FD194"/>
  <sheetViews>
    <sheetView showFormulas="false" showGridLines="true" showRowColHeaders="true" showZeros="true" rightToLeft="false" tabSelected="true" showOutlineSymbols="true" defaultGridColor="true" view="normal" topLeftCell="N1" colorId="64" zoomScale="110" zoomScaleNormal="110" zoomScalePageLayoutView="100" workbookViewId="0">
      <selection pane="topLeft" activeCell="Y3" activeCellId="0" sqref="Y3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2.38"/>
    <col collapsed="false" customWidth="false" hidden="false" outlineLevel="0" max="4" min="4" style="1" width="11.53"/>
    <col collapsed="false" customWidth="true" hidden="false" outlineLevel="0" max="5" min="5" style="1" width="12.38"/>
    <col collapsed="false" customWidth="false" hidden="false" outlineLevel="0" max="6" min="6" style="2" width="11.53"/>
    <col collapsed="false" customWidth="true" hidden="false" outlineLevel="0" max="7" min="7" style="1" width="12.38"/>
    <col collapsed="false" customWidth="false" hidden="false" outlineLevel="0" max="8" min="8" style="2" width="11.53"/>
    <col collapsed="false" customWidth="false" hidden="false" outlineLevel="0" max="9" min="9" style="1" width="11.53"/>
    <col collapsed="false" customWidth="false" hidden="false" outlineLevel="0" max="10" min="10" style="2" width="11.53"/>
    <col collapsed="false" customWidth="false" hidden="false" outlineLevel="0" max="23" min="11" style="1" width="11.53"/>
    <col collapsed="false" customWidth="true" hidden="false" outlineLevel="0" max="24" min="24" style="1" width="13.22"/>
    <col collapsed="false" customWidth="false" hidden="false" outlineLevel="0" max="16382" min="25" style="1" width="11.53"/>
  </cols>
  <sheetData>
    <row r="1" customFormat="false" ht="59" hidden="false" customHeight="false" outlineLevel="0" collapsed="false"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10</v>
      </c>
      <c r="O1" s="4" t="s">
        <v>12</v>
      </c>
      <c r="P1" s="4" t="s">
        <v>10</v>
      </c>
      <c r="Q1" s="4" t="s">
        <v>13</v>
      </c>
      <c r="R1" s="4" t="s">
        <v>14</v>
      </c>
      <c r="W1" s="4" t="s">
        <v>15</v>
      </c>
      <c r="X1" s="4" t="s">
        <v>16</v>
      </c>
      <c r="Y1" s="4" t="s">
        <v>3</v>
      </c>
      <c r="Z1" s="4" t="s">
        <v>17</v>
      </c>
      <c r="AA1" s="4" t="s">
        <v>7</v>
      </c>
      <c r="AB1" s="4" t="s">
        <v>17</v>
      </c>
      <c r="AC1" s="4" t="s">
        <v>5</v>
      </c>
    </row>
    <row r="2" customFormat="false" ht="12.8" hidden="false" customHeight="false" outlineLevel="0" collapsed="false">
      <c r="B2" s="5" t="n">
        <v>0</v>
      </c>
      <c r="C2" s="6" t="s">
        <v>18</v>
      </c>
      <c r="D2" s="6" t="n">
        <v>0.758002</v>
      </c>
      <c r="E2" s="6" t="n">
        <f aca="false">D2*$E$107</f>
        <v>56.2463256068</v>
      </c>
      <c r="F2" s="7" t="n">
        <f aca="false">AVERAGE(E2:E4)</f>
        <v>49.9190511577333</v>
      </c>
      <c r="G2" s="6" t="n">
        <f aca="false">D2*$E$109</f>
        <v>22.4525498414</v>
      </c>
      <c r="H2" s="7" t="n">
        <f aca="false">AVERAGE(G2:G4)</f>
        <v>19.9268124995333</v>
      </c>
      <c r="I2" s="6" t="n">
        <f aca="false">D2*$E$108</f>
        <v>33.7091827422</v>
      </c>
      <c r="J2" s="7" t="n">
        <f aca="false">AVERAGE(I2:I4)</f>
        <v>29.9171616926</v>
      </c>
      <c r="K2" s="8" t="n">
        <f aca="false">AVERAGE(D2,D5,D8,D11,D14,D17,D20,D23,D26,D29,D32,D35,D38,D41,D44,D47,D50,D56,D62,D65,D68,D71,D74,D77,D80,D83,D86,D89,D92,D95)</f>
        <v>0.778785633333333</v>
      </c>
      <c r="L2" s="8" t="n">
        <f aca="false">_xlfn.STDEV.P(D2,D5,D8,D11,D14,D17,D20,D23,D26,D29,D32,D35,D38,D41,D44,D47,D50,D56,D62,D65,D68,D71,D74,D77,D80,D83,D86,D89,D92,D95)</f>
        <v>0.0506836511638505</v>
      </c>
      <c r="M2" s="8" t="n">
        <f aca="false">AVERAGE(D3,D6,D9,D12,D15,D18,D21,D24,D27,D30,D33,D36,D39,D42,D45,D48,D51,D57,D63,D66,D69,D72,D75,D78,D81,D84,D87,D90,D93,D96)</f>
        <v>0.588108633333333</v>
      </c>
      <c r="N2" s="8" t="n">
        <f aca="false">STDEV(D3,D6,D9,D12,D15,D18,D21,D24,D27,D30,D33,D36,D39,D42,D45,D48,D51,D57,D63,D66,D69,D72,D75,D78,D81,D84,D87,D90,D93,D96)</f>
        <v>0.0851052769260169</v>
      </c>
      <c r="O2" s="8" t="n">
        <f aca="false">AVERAGE(D4,D7,D10,D13,D16,D19,D22,D25,D28,D31,D34,D37,D40,D43,D46,D49,D52,D58,D64,D67,D70,D73,D76,D79,D82,D85,D88,D91,D94,D97)</f>
        <v>0.744042333333333</v>
      </c>
      <c r="P2" s="8" t="n">
        <f aca="false">_xlfn.STDEV.P(D4,D7,D10,D13,D16,D19,D22,D25,D28,D31,D34,D37,D40,D43,D46,D49,D52,D58,D64,D67,D70,D73,D76,D79,D82,D85,D88,D91,D94,D97)</f>
        <v>0.0857058200774927</v>
      </c>
      <c r="Q2" s="8" t="n">
        <f aca="false">(K2*L2+M2*N2+O2*P2)/(L2+N2+P2)</f>
        <v>0.692077835220626</v>
      </c>
      <c r="R2" s="8" t="n">
        <f aca="false">SQRT(L2^2+N2^2+P2^2)</f>
        <v>0.130985603220768</v>
      </c>
      <c r="W2" s="5" t="n">
        <v>0</v>
      </c>
      <c r="X2" s="8" t="n">
        <f aca="false">180-159.1</f>
        <v>20.9</v>
      </c>
      <c r="Y2" s="8" t="n">
        <f aca="false">$E$107*$Q$2/(COS(RADIANS(X2)))</f>
        <v>54.9714006404584</v>
      </c>
      <c r="Z2" s="8" t="n">
        <f aca="false"> (SQRT($D$114^2 + $D$117^2 + $D$116^2 + 2*$D$114*$D$117 + 2*$D$117*$C$119 - 2*($D$116 + (C123 + Y2/1000))*($D$114 + $C$119 + $D$117) + 2*COS(RADIANS(180-B123))*SQRT($C$119^2 + 2*$D$114*$C$119)*SQRT((C123+Y2/1000)^2 + 2*$D$116*(C123+Y2/1000))) - $D$115) * 1000 -D123</f>
        <v>-204.997906785138</v>
      </c>
      <c r="AA2" s="8" t="n">
        <f aca="false">$E$108*$Q$2/(COS(RADIANS(X2)))</f>
        <v>32.9451029874897</v>
      </c>
      <c r="AB2" s="8" t="n">
        <f aca="false"> (SQRT($D$114^2 + $D$117^2 + $D$116^2 + 2*$D$114*$D$117 + 2*$D$117*$C$119 - 2*($D$116 + (C125 + AA2/1000))*($D$114 + $C$119 + $D$117) + 2*COS(RADIANS(180-B125))*SQRT($C$119^2 + 2*$D$114*$C$119)*SQRT((C125+AA2/1000)^2 + 2*$D$116*(C125+AA2/1000))) - $D$115) * 1000 -D125</f>
        <v>-94.8874354107829</v>
      </c>
      <c r="AC2" s="8" t="n">
        <f aca="false">$E$109*$Q$2/(COS(RADIANS(X2)))</f>
        <v>21.9436220840396</v>
      </c>
    </row>
    <row r="3" customFormat="false" ht="12.8" hidden="false" customHeight="false" outlineLevel="0" collapsed="false">
      <c r="B3" s="5"/>
      <c r="C3" s="9" t="s">
        <v>19</v>
      </c>
      <c r="D3" s="9" t="n">
        <v>0.511638</v>
      </c>
      <c r="E3" s="9" t="n">
        <f aca="false">D3*$E$107</f>
        <v>37.9652791692</v>
      </c>
      <c r="F3" s="7"/>
      <c r="G3" s="9" t="n">
        <f aca="false">D3*$E$109</f>
        <v>15.1550757066</v>
      </c>
      <c r="H3" s="7"/>
      <c r="I3" s="9" t="n">
        <f aca="false">D3*$E$108</f>
        <v>22.7531046618</v>
      </c>
      <c r="J3" s="7"/>
      <c r="K3" s="8"/>
      <c r="L3" s="8"/>
      <c r="M3" s="8"/>
      <c r="N3" s="8"/>
      <c r="O3" s="8"/>
      <c r="P3" s="8"/>
      <c r="Q3" s="8"/>
      <c r="R3" s="8"/>
      <c r="T3" s="10"/>
      <c r="W3" s="5" t="n">
        <v>1</v>
      </c>
      <c r="X3" s="8" t="n">
        <f aca="false">180-157.4</f>
        <v>22.6</v>
      </c>
      <c r="Y3" s="8" t="n">
        <f aca="false">$E$107*$Q$2/(COS(RADIANS(X3)))</f>
        <v>55.6260399701854</v>
      </c>
      <c r="Z3" s="8" t="n">
        <f aca="false"> (SQRT($D$114^2 + $D$117^2 + $D$116^2 + 2*$D$114*$D$117 + 2*$D$117*$C$119 - 2*($D$116 + (C126 + Y3/1000))*($D$114 + $C$119 + $D$117) + 2*COS(RADIANS(180-B126))*SQRT($C$119^2 + 2*$D$114*$C$119)*SQRT((C126+Y3/1000)^2 + 2*$D$116*(C126+Y3/1000))) - $D$115) * 1000 -D126</f>
        <v>-205.725139450806</v>
      </c>
      <c r="AA3" s="8" t="n">
        <f aca="false">$E$108*$Q$2/(COS(RADIANS(X3)))</f>
        <v>33.3374371810201</v>
      </c>
      <c r="AB3" s="8" t="n">
        <f aca="false"> (SQRT($D$114^2 + $D$117^2 + $D$116^2 + 2*$D$114*$D$117 + 2*$D$117*$C$119 - 2*($D$116 + (C128 + AA3/1000))*($D$114 + $C$119 + $D$117) + 2*COS(RADIANS(180-B128))*SQRT($C$119^2 + 2*$D$114*$C$119)*SQRT((C128+AA3/1000)^2 + 2*$D$116*(C128+AA3/1000))) - $D$115) * 1000 -D128</f>
        <v>-96.0152697080048</v>
      </c>
      <c r="AC3" s="8" t="n">
        <f aca="false">$E$109*$Q$2/(COS(RADIANS(X3)))</f>
        <v>22.2049426595664</v>
      </c>
    </row>
    <row r="4" customFormat="false" ht="12.8" hidden="false" customHeight="false" outlineLevel="0" collapsed="false">
      <c r="B4" s="5"/>
      <c r="C4" s="11" t="s">
        <v>20</v>
      </c>
      <c r="D4" s="11" t="n">
        <v>0.748558</v>
      </c>
      <c r="E4" s="11" t="n">
        <f aca="false">D4*$E$107</f>
        <v>55.5455486972</v>
      </c>
      <c r="F4" s="7"/>
      <c r="G4" s="11" t="n">
        <f aca="false">D4*$E$109</f>
        <v>22.1728119506</v>
      </c>
      <c r="H4" s="7"/>
      <c r="I4" s="11" t="n">
        <f aca="false">D4*$E$108</f>
        <v>33.2891976738</v>
      </c>
      <c r="J4" s="7"/>
      <c r="K4" s="8"/>
      <c r="L4" s="8"/>
      <c r="M4" s="8"/>
      <c r="N4" s="8"/>
      <c r="O4" s="8"/>
      <c r="P4" s="8"/>
      <c r="Q4" s="8"/>
      <c r="R4" s="8"/>
      <c r="W4" s="5" t="n">
        <v>2</v>
      </c>
      <c r="X4" s="8" t="n">
        <f aca="false">180-155.8</f>
        <v>24.2</v>
      </c>
      <c r="Y4" s="8" t="n">
        <f aca="false">$E$107*$Q$2/(COS(RADIANS(X4)))</f>
        <v>56.3023745748754</v>
      </c>
      <c r="Z4" s="8" t="n">
        <f aca="false"> (SQRT($D$114^2 + $D$117^2 + $D$116^2 + 2*$D$114*$D$117 + 2*$D$117*$C$119 - 2*($D$116 + (C129 + Y4/1000))*($D$114 + $C$119 + $D$117) + 2*COS(RADIANS(180-B129))*SQRT($C$119^2 + 2*$D$114*$C$119)*SQRT((C129+Y4/1000)^2 + 2*$D$116*(C129+Y4/1000))) - $D$115) * 1000 - D129</f>
        <v>-206.476498915436</v>
      </c>
      <c r="AA4" s="8" t="n">
        <f aca="false">$E$108*$Q$2/(COS(RADIANS(X4)))</f>
        <v>33.7427736459076</v>
      </c>
      <c r="AB4" s="8" t="n">
        <f aca="false"> (SQRT($D$114^2 + $D$117^2 + $D$116^2 + 2*$D$114*$D$117 + 2*$D$117*$C$119 - 2*($D$116 + (C131 + AA4/1000))*($D$114 + $C$119 + $D$117) + 2*COS(RADIANS(180-B131))*SQRT($C$119^2 + 2*$D$114*$C$119)*SQRT((C131+AA4/1000)^2 + 2*$D$116*(C131+AA4/1000))) - $D$115) * 1000 -D131</f>
        <v>-97.1804284345126</v>
      </c>
      <c r="AC4" s="8" t="n">
        <f aca="false">$E$109*$Q$2/(COS(RADIANS(X4)))</f>
        <v>22.4749236095652</v>
      </c>
    </row>
    <row r="5" customFormat="false" ht="12.8" hidden="false" customHeight="false" outlineLevel="0" collapsed="false">
      <c r="B5" s="5" t="n">
        <v>1</v>
      </c>
      <c r="C5" s="6" t="s">
        <v>18</v>
      </c>
      <c r="D5" s="6" t="n">
        <v>0.78173</v>
      </c>
      <c r="E5" s="6" t="n">
        <f aca="false">D5*$E$107</f>
        <v>58.007023882</v>
      </c>
      <c r="F5" s="7" t="n">
        <f aca="false">AVERAGE(E5:E7)</f>
        <v>51.9617470874</v>
      </c>
      <c r="G5" s="6" t="n">
        <f aca="false">D5*$E$109</f>
        <v>23.155389811</v>
      </c>
      <c r="H5" s="7" t="n">
        <f aca="false">AVERAGE(G5:G7)</f>
        <v>20.7422210027</v>
      </c>
      <c r="I5" s="6" t="n">
        <f aca="false">D5*$E$108</f>
        <v>34.764393003</v>
      </c>
      <c r="J5" s="7" t="n">
        <f aca="false">AVERAGE(I5:I7)</f>
        <v>31.1413769571</v>
      </c>
      <c r="K5" s="8"/>
      <c r="L5" s="8"/>
      <c r="M5" s="8"/>
      <c r="N5" s="8"/>
      <c r="O5" s="8"/>
      <c r="P5" s="8"/>
      <c r="Q5" s="8"/>
      <c r="R5" s="8"/>
      <c r="W5" s="5" t="n">
        <v>3</v>
      </c>
      <c r="X5" s="8" t="n">
        <f aca="false">180-154.2</f>
        <v>25.8</v>
      </c>
      <c r="Y5" s="8" t="n">
        <f aca="false">$E$107*$Q$2/(COS(RADIANS(X5)))</f>
        <v>57.0403839942474</v>
      </c>
      <c r="Z5" s="8" t="n">
        <f aca="false"> (SQRT($D$114^2 + $D$117^2 + $D$116^2 + 2*$D$114*$D$117 + 2*$D$117*$C$119 - 2*($D$116 + (C132 + Y5/1000))*($D$114 + $C$119 + $D$117) + 2*COS(RADIANS(180-B132))*SQRT($C$119^2 + 2*$D$114*$C$119)*SQRT((C132+Y5/1000)^2 + 2*$D$116*(C132+Y5/1000))) - $D$115) * 1000 - D132</f>
        <v>-207.296404034423</v>
      </c>
      <c r="AA5" s="8" t="n">
        <f aca="false">$E$108*$Q$2/(COS(RADIANS(X5)))</f>
        <v>34.185072660371</v>
      </c>
      <c r="AB5" s="8" t="n">
        <f aca="false"> (SQRT($D$114^2 + $D$117^2 + $D$116^2 + 2*$D$114*$D$117 + 2*$D$117*$C$119 - 2*($D$116 + (C134 + AA5/1000))*($D$114 + $C$119 + $D$117) + 2*COS(RADIANS(180-B134))*SQRT($C$119^2 + 2*$D$114*$C$119)*SQRT((C134+AA5/1000)^2 + 2*$D$116*(C134+AA5/1000))) - $D$115) * 1000 -D134</f>
        <v>-98.4517764118209</v>
      </c>
      <c r="AC5" s="8" t="n">
        <f aca="false">$E$109*$Q$2/(COS(RADIANS(X5)))</f>
        <v>22.7695240673393</v>
      </c>
    </row>
    <row r="6" customFormat="false" ht="12.8" hidden="false" customHeight="false" outlineLevel="0" collapsed="false">
      <c r="B6" s="5"/>
      <c r="C6" s="9" t="s">
        <v>19</v>
      </c>
      <c r="D6" s="9" t="n">
        <v>0.559047</v>
      </c>
      <c r="E6" s="9" t="n">
        <f aca="false">D6*$E$107</f>
        <v>41.4831881598</v>
      </c>
      <c r="F6" s="7"/>
      <c r="G6" s="9" t="n">
        <f aca="false">D6*$E$109</f>
        <v>16.5593634729</v>
      </c>
      <c r="H6" s="7"/>
      <c r="I6" s="9" t="n">
        <f aca="false">D6*$E$108</f>
        <v>24.8614350417</v>
      </c>
      <c r="J6" s="7"/>
      <c r="K6" s="8"/>
      <c r="L6" s="8"/>
      <c r="M6" s="8"/>
      <c r="N6" s="8"/>
      <c r="O6" s="8"/>
      <c r="P6" s="8"/>
      <c r="Q6" s="8"/>
      <c r="R6" s="8"/>
      <c r="W6" s="5" t="n">
        <v>4</v>
      </c>
      <c r="X6" s="8" t="n">
        <f aca="false">180-152.7</f>
        <v>27.3</v>
      </c>
      <c r="Y6" s="8" t="n">
        <f aca="false">$E$107*$Q$2/(COS(RADIANS(X6)))</f>
        <v>57.7915063435994</v>
      </c>
      <c r="Z6" s="8" t="n">
        <f aca="false"> (SQRT($D$114^2 + $D$117^2 + $D$116^2 + 2*$D$114*$D$117 + 2*$D$117*$C$119 - 2*($D$116 + (C135 + Y6/1000))*($D$114 + $C$119 + $D$117) + 2*COS(RADIANS(180-B135))*SQRT($C$119^2 + 2*$D$114*$C$119)*SQRT((C135+Y6/1000)^2 + 2*$D$116*(C135+Y6/1000))) - $D$115) * 1000 - D135</f>
        <v>-208.130908125895</v>
      </c>
      <c r="AA6" s="8" t="n">
        <f aca="false">$E$108*$Q$2/(COS(RADIANS(X6)))</f>
        <v>34.635230430908</v>
      </c>
      <c r="AB6" s="8" t="n">
        <f aca="false"> (SQRT($D$114^2 + $D$117^2 + $D$116^2 + 2*$D$114*$D$117 + 2*$D$117*$C$119 - 2*($D$116 + (C137 + AA6/1000))*($D$114 + $C$119 + $D$117) + 2*COS(RADIANS(180-B137))*SQRT($C$119^2 + 2*$D$114*$C$119)*SQRT((C137+AA6/1000)^2 + 2*$D$116*(C137+AA6/1000))) - $D$115) * 1000 -D137</f>
        <v>-99.7456479526591</v>
      </c>
      <c r="AC6" s="8" t="n">
        <f aca="false">$E$109*$Q$2/(COS(RADIANS(X6)))</f>
        <v>23.0693589775112</v>
      </c>
    </row>
    <row r="7" customFormat="false" ht="12.8" hidden="false" customHeight="false" outlineLevel="0" collapsed="false">
      <c r="B7" s="5"/>
      <c r="C7" s="11" t="s">
        <v>20</v>
      </c>
      <c r="D7" s="11" t="n">
        <v>0.760006</v>
      </c>
      <c r="E7" s="11" t="n">
        <f aca="false">D7*$E$107</f>
        <v>56.3950292204</v>
      </c>
      <c r="F7" s="7"/>
      <c r="G7" s="11" t="n">
        <f aca="false">D7*$E$109</f>
        <v>22.5119097242</v>
      </c>
      <c r="H7" s="7"/>
      <c r="I7" s="11" t="n">
        <f aca="false">D7*$E$108</f>
        <v>33.7983028266</v>
      </c>
      <c r="J7" s="7"/>
      <c r="K7" s="8"/>
      <c r="L7" s="8"/>
      <c r="M7" s="8"/>
      <c r="N7" s="8"/>
      <c r="O7" s="8"/>
      <c r="P7" s="8"/>
      <c r="Q7" s="8"/>
      <c r="R7" s="8"/>
      <c r="W7" s="5" t="n">
        <v>5</v>
      </c>
      <c r="X7" s="8" t="n">
        <f aca="false">180-151.2</f>
        <v>28.8</v>
      </c>
      <c r="Y7" s="8" t="n">
        <f aca="false">$E$107*$Q$2/(COS(RADIANS(X7)))</f>
        <v>58.6033743750985</v>
      </c>
      <c r="Z7" s="8" t="n">
        <f aca="false"> (SQRT($D$114^2 + $D$117^2 + $D$116^2 + 2*$D$114*$D$117 + 2*$D$117*$C$119 - 2*($D$116 + (C138 + Y7/1000))*($D$114 + $C$119 + $D$117) + 2*COS(RADIANS(180-B138))*SQRT($C$119^2 + 2*$D$114*$C$119)*SQRT((C138+Y7/1000)^2 + 2*$D$116*(C138+Y7/1000))) - $D$115) * 1000 - D138</f>
        <v>-209.032935727009</v>
      </c>
      <c r="AA7" s="8" t="n">
        <f aca="false">$E$108*$Q$2/(COS(RADIANS(X7)))</f>
        <v>35.1217939093417</v>
      </c>
      <c r="AB7" s="8" t="n">
        <f aca="false"> (SQRT($D$114^2 + $D$117^2 + $D$116^2 + 2*$D$114*$D$117 + 2*$D$117*$C$119 - 2*($D$116 + (C140 + AA7/1000))*($D$114 + $C$119 + $D$117) + 2*COS(RADIANS(180-B140))*SQRT($C$119^2 + 2*$D$114*$C$119)*SQRT((C140+AA7/1000)^2 + 2*$D$116*(C140+AA7/1000))) - $D$115) * 1000 -D140</f>
        <v>-101.144084525004</v>
      </c>
      <c r="AC7" s="8" t="n">
        <f aca="false">$E$109*$Q$2/(COS(RADIANS(X7)))</f>
        <v>23.3934425019942</v>
      </c>
    </row>
    <row r="8" customFormat="false" ht="12.8" hidden="false" customHeight="false" outlineLevel="0" collapsed="false">
      <c r="B8" s="5" t="n">
        <v>2</v>
      </c>
      <c r="C8" s="6" t="s">
        <v>18</v>
      </c>
      <c r="D8" s="6" t="n">
        <v>0.773406</v>
      </c>
      <c r="E8" s="6" t="n">
        <f aca="false">D8*$E$107</f>
        <v>57.3893547804</v>
      </c>
      <c r="F8" s="7" t="n">
        <f aca="false">AVERAGE(E8:E10)</f>
        <v>49.7876616708</v>
      </c>
      <c r="G8" s="6" t="n">
        <f aca="false">D8*$E$109</f>
        <v>22.9088271042</v>
      </c>
      <c r="H8" s="7" t="n">
        <f aca="false">AVERAGE(G8:G10)</f>
        <v>19.8743641134</v>
      </c>
      <c r="I8" s="6" t="n">
        <f aca="false">D8*$E$108</f>
        <v>34.3942155666</v>
      </c>
      <c r="J8" s="7" t="n">
        <f aca="false">AVERAGE(I8:I10)</f>
        <v>29.8384181982</v>
      </c>
      <c r="K8" s="8"/>
      <c r="L8" s="8"/>
      <c r="M8" s="8"/>
      <c r="N8" s="8"/>
      <c r="O8" s="8"/>
      <c r="P8" s="8"/>
      <c r="Q8" s="8"/>
      <c r="R8" s="8"/>
      <c r="W8" s="5" t="n">
        <v>6</v>
      </c>
      <c r="X8" s="8" t="n">
        <f aca="false">180-149.8</f>
        <v>30.2</v>
      </c>
      <c r="Y8" s="8" t="n">
        <f aca="false">$E$107*$Q$2/(COS(RADIANS(X8)))</f>
        <v>59.4192128729457</v>
      </c>
      <c r="Z8" s="8" t="n">
        <f aca="false"> (SQRT($D$114^2 + $D$117^2 + $D$116^2 + 2*$D$114*$D$117 + 2*$D$117*$C$119 - 2*($D$116 + (C141 + Y8/1000))*($D$114 + $C$119 + $D$117) + 2*COS(RADIANS(180-B141))*SQRT($C$119^2 + 2*$D$114*$C$119)*SQRT((C141+Y8/1000)^2 + 2*$D$116*(C141+Y8/1000))) - $D$115) * 1000 - D141</f>
        <v>-209.939410200604</v>
      </c>
      <c r="AA8" s="8" t="n">
        <f aca="false">$E$108*$Q$2/(COS(RADIANS(X8)))</f>
        <v>35.6107369418929</v>
      </c>
      <c r="AB8" s="8" t="n">
        <f aca="false"> (SQRT($D$114^2 + $D$117^2 + $D$116^2 + 2*$D$114*$D$117 + 2*$D$117*$C$119 - 2*($D$116 + (C143 + AA8/1000))*($D$114 + $C$119 + $D$117) + 2*COS(RADIANS(180-B143))*SQRT($C$119^2 + 2*$D$114*$C$119)*SQRT((C143+AA8/1000)^2 + 2*$D$116*(C143+AA8/1000))) - $D$115) * 1000 -D143</f>
        <v>-102.549282222753</v>
      </c>
      <c r="AC8" s="8" t="n">
        <f aca="false">$E$109*$Q$2/(COS(RADIANS(X8)))</f>
        <v>23.7191109672288</v>
      </c>
    </row>
    <row r="9" customFormat="false" ht="12.8" hidden="false" customHeight="false" outlineLevel="0" collapsed="false">
      <c r="B9" s="5"/>
      <c r="C9" s="9" t="s">
        <v>19</v>
      </c>
      <c r="D9" s="9" t="n">
        <v>0.539862</v>
      </c>
      <c r="E9" s="9" t="n">
        <f aca="false">D9*$E$107</f>
        <v>40.0595959308</v>
      </c>
      <c r="F9" s="7"/>
      <c r="G9" s="9" t="n">
        <f aca="false">D9*$E$109</f>
        <v>15.9910903434</v>
      </c>
      <c r="H9" s="7"/>
      <c r="I9" s="9" t="n">
        <f aca="false">D9*$E$108</f>
        <v>24.0082569882</v>
      </c>
      <c r="J9" s="7"/>
      <c r="K9" s="8"/>
      <c r="L9" s="8"/>
      <c r="M9" s="8"/>
      <c r="N9" s="8"/>
      <c r="O9" s="8"/>
      <c r="P9" s="8"/>
      <c r="Q9" s="8"/>
      <c r="R9" s="8"/>
      <c r="W9" s="5" t="n">
        <v>7</v>
      </c>
      <c r="X9" s="8" t="n">
        <f aca="false">180-148.4</f>
        <v>31.6</v>
      </c>
      <c r="Y9" s="8" t="n">
        <f aca="false">$E$107*$Q$2/(COS(RADIANS(X9)))</f>
        <v>60.2945925265118</v>
      </c>
      <c r="Z9" s="8" t="n">
        <f aca="false"> (SQRT($D$114^2 + $D$117^2 + $D$116^2 + 2*$D$114*$D$117 + 2*$D$117*$C$119 - 2*($D$116 + (C144 + Y9/1000))*($D$114 + $C$119 + $D$117) + 2*COS(RADIANS(180-B144))*SQRT($C$119^2 + 2*$D$114*$C$119)*SQRT((C144+Y9/1000)^2 + 2*$D$116*(C144+Y9/1000))) - $D$115) * 1000 - D144</f>
        <v>-210.912079437549</v>
      </c>
      <c r="AA9" s="8" t="n">
        <f aca="false">$E$108*$Q$2/(COS(RADIANS(X9)))</f>
        <v>36.1353637933809</v>
      </c>
      <c r="AB9" s="8" t="n">
        <f aca="false"> (SQRT($D$114^2 + $D$117^2 + $D$116^2 + 2*$D$114*$D$117 + 2*$D$117*$C$119 - 2*($D$116 + (C146 + AA9/1000))*($D$114 + $C$119 + $D$117) + 2*COS(RADIANS(180-B146))*SQRT($C$119^2 + 2*$D$114*$C$119)*SQRT((C146+AA9/1000)^2 + 2*$D$116*(C146+AA9/1000))) - $D$115) * 1000 -D146</f>
        <v>-104.056946522178</v>
      </c>
      <c r="AC9" s="8" t="n">
        <f aca="false">$E$109*$Q$2/(COS(RADIANS(X9)))</f>
        <v>24.0685472208827</v>
      </c>
    </row>
    <row r="10" customFormat="false" ht="12.8" hidden="false" customHeight="false" outlineLevel="0" collapsed="false">
      <c r="B10" s="5"/>
      <c r="C10" s="11" t="s">
        <v>20</v>
      </c>
      <c r="D10" s="11" t="n">
        <v>0.699618</v>
      </c>
      <c r="E10" s="11" t="n">
        <f aca="false">D10*$E$107</f>
        <v>51.9140343012</v>
      </c>
      <c r="F10" s="7"/>
      <c r="G10" s="11" t="n">
        <f aca="false">D10*$E$109</f>
        <v>20.7231748926</v>
      </c>
      <c r="H10" s="7"/>
      <c r="I10" s="11" t="n">
        <f aca="false">D10*$E$108</f>
        <v>31.1127820398</v>
      </c>
      <c r="J10" s="7"/>
      <c r="K10" s="8"/>
      <c r="L10" s="8"/>
      <c r="M10" s="8"/>
      <c r="N10" s="8"/>
      <c r="O10" s="8"/>
      <c r="P10" s="8"/>
      <c r="Q10" s="8"/>
      <c r="R10" s="8"/>
      <c r="W10" s="5" t="n">
        <v>8</v>
      </c>
      <c r="X10" s="8" t="n">
        <f aca="false">180-147</f>
        <v>33</v>
      </c>
      <c r="Y10" s="8" t="n">
        <f aca="false">$E$107*$Q$2/(COS(RADIANS(X10)))</f>
        <v>61.2332546303831</v>
      </c>
      <c r="Z10" s="8" t="n">
        <f aca="false"> (SQRT($D$114^2 + $D$117^2 + $D$116^2 + 2*$D$114*$D$117 + 2*$D$117*$C$119 - 2*($D$116 + (C147 + Y10/1000))*($D$114 + $C$119 + $D$117) + 2*COS(RADIANS(180-B147))*SQRT($C$119^2 + 2*$D$114*$C$119)*SQRT((C147+Y10/1000)^2 + 2*$D$116*(C147+Y10/1000))) - $D$115) * 1000 - D147</f>
        <v>-211.955108246912</v>
      </c>
      <c r="AA10" s="8" t="n">
        <f aca="false">$E$108*$Q$2/(COS(RADIANS(X10)))</f>
        <v>36.6979166721906</v>
      </c>
      <c r="AB10" s="8" t="n">
        <f aca="false"> (SQRT($D$114^2 + $D$117^2 + $D$116^2 + 2*$D$114*$D$117 + 2*$D$117*$C$119 - 2*($D$116 + (C149 + AA10/1000))*($D$114 + $C$119 + $D$117) + 2*COS(RADIANS(180-B149))*SQRT($C$119^2 + 2*$D$114*$C$119)*SQRT((C149+AA10/1000)^2 + 2*$D$116*(C149+AA10/1000))) - $D$115) * 1000 -D149</f>
        <v>-105.67350211204</v>
      </c>
      <c r="AC10" s="8" t="n">
        <f aca="false">$E$109*$Q$2/(COS(RADIANS(X10)))</f>
        <v>24.4432447223468</v>
      </c>
    </row>
    <row r="11" customFormat="false" ht="12.8" hidden="false" customHeight="false" outlineLevel="0" collapsed="false">
      <c r="B11" s="5" t="n">
        <v>3</v>
      </c>
      <c r="C11" s="6" t="s">
        <v>18</v>
      </c>
      <c r="D11" s="6" t="n">
        <v>0.745013</v>
      </c>
      <c r="E11" s="6" t="n">
        <f aca="false">D11*$E$107</f>
        <v>55.2824976442</v>
      </c>
      <c r="F11" s="7" t="n">
        <f aca="false">AVERAGE(E11:E13)</f>
        <v>50.448665558</v>
      </c>
      <c r="G11" s="6" t="n">
        <f aca="false">D11*$E$109</f>
        <v>22.0678065691</v>
      </c>
      <c r="H11" s="7" t="n">
        <f aca="false">AVERAGE(G11:G13)</f>
        <v>20.138225309</v>
      </c>
      <c r="I11" s="6" t="n">
        <f aca="false">D11*$E$108</f>
        <v>33.1315476243</v>
      </c>
      <c r="J11" s="7" t="n">
        <f aca="false">AVERAGE(I11:I13)</f>
        <v>30.234566757</v>
      </c>
      <c r="K11" s="8"/>
      <c r="L11" s="8"/>
      <c r="M11" s="8"/>
      <c r="N11" s="8"/>
      <c r="O11" s="8"/>
      <c r="P11" s="8"/>
      <c r="Q11" s="8"/>
      <c r="R11" s="8"/>
      <c r="W11" s="5" t="n">
        <v>9</v>
      </c>
      <c r="X11" s="8" t="n">
        <f aca="false">180-145.7</f>
        <v>34.3</v>
      </c>
      <c r="Y11" s="8" t="n">
        <f aca="false">$E$107*$Q$2/(COS(RADIANS(X11)))</f>
        <v>62.1651548976458</v>
      </c>
      <c r="Z11" s="8" t="n">
        <f aca="false"> (SQRT($D$114^2 + $D$117^2 + $D$116^2 + 2*$D$114*$D$117 + 2*$D$117*$C$119 - 2*($D$116 + (C150 + Y11/1000))*($D$114 + $C$119 + $D$117) + 2*COS(RADIANS(180-B150))*SQRT($C$119^2 + 2*$D$114*$C$119)*SQRT((C150+Y11/1000)^2 + 2*$D$116*(C150+Y11/1000))) - $D$115) * 1000 - D150</f>
        <v>-212.990667569102</v>
      </c>
      <c r="AA11" s="8" t="n">
        <f aca="false">$E$108*$Q$2/(COS(RADIANS(X11)))</f>
        <v>37.2564170909783</v>
      </c>
      <c r="AB11" s="8" t="n">
        <f aca="false"> (SQRT($D$114^2 + $D$117^2 + $D$116^2 + 2*$D$114*$D$117 + 2*$D$117*$C$119 - 2*($D$116 + (C152 + AA11/1000))*($D$114 + $C$119 + $D$117) + 2*COS(RADIANS(180-B152))*SQRT($C$119^2 + 2*$D$114*$C$119)*SQRT((C152+AA11/1000)^2 + 2*$D$116*(C152+AA11/1000))) - $D$115) * 1000 -D152</f>
        <v>-107.278310268157</v>
      </c>
      <c r="AC11" s="8" t="n">
        <f aca="false">$E$109*$Q$2/(COS(RADIANS(X11)))</f>
        <v>24.8152430168523</v>
      </c>
    </row>
    <row r="12" customFormat="false" ht="12.8" hidden="false" customHeight="false" outlineLevel="0" collapsed="false">
      <c r="B12" s="5"/>
      <c r="C12" s="9" t="s">
        <v>19</v>
      </c>
      <c r="D12" s="9" t="n">
        <v>0.615145</v>
      </c>
      <c r="E12" s="9" t="n">
        <f aca="false">D12*$E$107</f>
        <v>45.645850493</v>
      </c>
      <c r="F12" s="7"/>
      <c r="G12" s="9" t="n">
        <f aca="false">D12*$E$109</f>
        <v>18.2210255015</v>
      </c>
      <c r="H12" s="7"/>
      <c r="I12" s="9" t="n">
        <f aca="false">D12*$E$108</f>
        <v>27.3561748095</v>
      </c>
      <c r="J12" s="7"/>
      <c r="K12" s="8"/>
      <c r="L12" s="8"/>
      <c r="M12" s="8"/>
      <c r="N12" s="8"/>
      <c r="O12" s="8"/>
      <c r="P12" s="8"/>
      <c r="Q12" s="8"/>
      <c r="R12" s="8"/>
      <c r="W12" s="5" t="n">
        <v>10</v>
      </c>
      <c r="X12" s="8" t="n">
        <f aca="false">180-144.4</f>
        <v>35.6</v>
      </c>
      <c r="Y12" s="8" t="n">
        <f aca="false">$E$107*$Q$2/(COS(RADIANS(X12)))</f>
        <v>63.1588739037473</v>
      </c>
      <c r="Z12" s="8" t="n">
        <f aca="false"> (SQRT($D$114^2 + $D$117^2 + $D$116^2 + 2*$D$114*$D$117 + 2*$D$117*$C$119 - 2*($D$116 + (C153 + Y12/1000))*($D$114 + $C$119 + $D$117) + 2*COS(RADIANS(180-B153))*SQRT($C$119^2 + 2*$D$114*$C$119)*SQRT((C153+Y12/1000)^2 + 2*$D$116*(C153+Y12/1000))) - $D$115) * 1000 - D153</f>
        <v>-214.094969604048</v>
      </c>
      <c r="AA12" s="8" t="n">
        <f aca="false">$E$108*$Q$2/(COS(RADIANS(X12)))</f>
        <v>37.8519663150332</v>
      </c>
      <c r="AB12" s="8" t="n">
        <f aca="false"> (SQRT($D$114^2 + $D$117^2 + $D$116^2 + 2*$D$114*$D$117 + 2*$D$117*$C$119 - 2*($D$116 + (C155 + AA12/1000))*($D$114 + $C$119 + $D$117) + 2*COS(RADIANS(180-B155))*SQRT($C$119^2 + 2*$D$114*$C$119)*SQRT((C155+AA12/1000)^2 + 2*$D$116*(C155+AA12/1000))) - $D$115) * 1000 -D155</f>
        <v>-108.989463111357</v>
      </c>
      <c r="AC12" s="8" t="n">
        <f aca="false">$E$109*$Q$2/(COS(RADIANS(X12)))</f>
        <v>25.2119182711402</v>
      </c>
    </row>
    <row r="13" customFormat="false" ht="12.8" hidden="false" customHeight="false" outlineLevel="0" collapsed="false">
      <c r="B13" s="5"/>
      <c r="C13" s="11" t="s">
        <v>20</v>
      </c>
      <c r="D13" s="11" t="n">
        <v>0.679452</v>
      </c>
      <c r="E13" s="11" t="n">
        <f aca="false">D13*$E$107</f>
        <v>50.4176485368</v>
      </c>
      <c r="F13" s="7"/>
      <c r="G13" s="11" t="n">
        <f aca="false">D13*$E$109</f>
        <v>20.1258438564</v>
      </c>
      <c r="H13" s="7"/>
      <c r="I13" s="11" t="n">
        <f aca="false">D13*$E$108</f>
        <v>30.2159778372</v>
      </c>
      <c r="J13" s="7"/>
      <c r="K13" s="8"/>
      <c r="L13" s="8"/>
      <c r="M13" s="8"/>
      <c r="N13" s="8"/>
      <c r="O13" s="8"/>
      <c r="P13" s="8"/>
      <c r="Q13" s="8"/>
      <c r="R13" s="8"/>
      <c r="W13" s="5" t="n">
        <v>11</v>
      </c>
      <c r="X13" s="8" t="n">
        <f aca="false">180-143.1</f>
        <v>36.9</v>
      </c>
      <c r="Y13" s="8" t="n">
        <f aca="false">$E$107*$Q$2/(COS(RADIANS(X13)))</f>
        <v>64.2184739859421</v>
      </c>
      <c r="Z13" s="8" t="n">
        <f aca="false"> (SQRT($D$114^2 + $D$117^2 + $D$116^2 + 2*$D$114*$D$117 + 2*$D$117*$C$119 - 2*($D$116 + (C156 + Y13/1000))*($D$114 + $C$119 + $D$117) + 2*COS(RADIANS(180-B156))*SQRT($C$119^2 + 2*$D$114*$C$119)*SQRT((C156+Y13/1000)^2 + 2*$D$116*(C156+Y13/1000))) - $D$115) * 1000 - D156</f>
        <v>-215.272537305282</v>
      </c>
      <c r="AA13" s="8" t="n">
        <f aca="false">$E$108*$Q$2/(COS(RADIANS(X13)))</f>
        <v>38.4869989579484</v>
      </c>
      <c r="AB13" s="8" t="n">
        <f aca="false"> (SQRT($D$114^2 + $D$117^2 + $D$116^2 + 2*$D$114*$D$117 + 2*$D$117*$C$119 - 2*($D$116 + (C158 + AA13/1000))*($D$114 + $C$119 + $D$117) + 2*COS(RADIANS(180-B158))*SQRT($C$119^2 + 2*$D$114*$C$119)*SQRT((C158+AA13/1000)^2 + 2*$D$116*(C158+AA13/1000))) - $D$115) * 1000 -D158</f>
        <v>-110.813933544705</v>
      </c>
      <c r="AC13" s="8" t="n">
        <f aca="false">$E$109*$Q$2/(COS(RADIANS(X13)))</f>
        <v>25.6348920992218</v>
      </c>
    </row>
    <row r="14" customFormat="false" ht="12.8" hidden="false" customHeight="false" outlineLevel="0" collapsed="false">
      <c r="B14" s="5" t="n">
        <v>4</v>
      </c>
      <c r="C14" s="6" t="s">
        <v>18</v>
      </c>
      <c r="D14" s="6" t="n">
        <v>0.700956</v>
      </c>
      <c r="E14" s="6" t="n">
        <f aca="false">D14*$E$107</f>
        <v>52.0133184504</v>
      </c>
      <c r="F14" s="7" t="n">
        <f aca="false">AVERAGE(E14:E16)</f>
        <v>50.7208683636667</v>
      </c>
      <c r="G14" s="6" t="n">
        <f aca="false">D14*$E$109</f>
        <v>20.7628073892</v>
      </c>
      <c r="H14" s="7" t="n">
        <f aca="false">AVERAGE(G14:G16)</f>
        <v>20.2468839101667</v>
      </c>
      <c r="I14" s="6" t="n">
        <f aca="false">D14*$E$108</f>
        <v>31.1722843716</v>
      </c>
      <c r="J14" s="7" t="n">
        <f aca="false">AVERAGE(I14:I16)</f>
        <v>30.3977015755</v>
      </c>
      <c r="K14" s="8"/>
      <c r="L14" s="8"/>
      <c r="M14" s="8"/>
      <c r="N14" s="8"/>
      <c r="O14" s="8"/>
      <c r="P14" s="8"/>
      <c r="Q14" s="8"/>
      <c r="R14" s="8"/>
      <c r="W14" s="5" t="n">
        <v>12</v>
      </c>
      <c r="X14" s="8" t="n">
        <f aca="false">180-141.9</f>
        <v>38.1</v>
      </c>
      <c r="Y14" s="8" t="n">
        <f aca="false">$E$107*$Q$2/(COS(RADIANS(X14)))</f>
        <v>65.2589184682814</v>
      </c>
      <c r="Z14" s="8" t="n">
        <f aca="false"> (SQRT($D$114^2 + $D$117^2 + $D$116^2 + 2*$D$114*$D$117 + 2*$D$117*$C$119 - 2*($D$116 + (C159 + Y14/1000))*($D$114 + $C$119 + $D$117) + 2*COS(RADIANS(180-B159))*SQRT($C$119^2 + 2*$D$114*$C$119)*SQRT((C159+Y14/1000)^2 + 2*$D$116*(C159+Y14/1000))) - $D$115) * 1000 - D159</f>
        <v>-216.428869269294</v>
      </c>
      <c r="AA14" s="8" t="n">
        <f aca="false">$E$108*$Q$2/(COS(RADIANS(X14)))</f>
        <v>39.1105513911059</v>
      </c>
      <c r="AB14" s="8" t="n">
        <f aca="false"> (SQRT($D$114^2 + $D$117^2 + $D$116^2 + 2*$D$114*$D$117 + 2*$D$117*$C$119 - 2*($D$116 + (C161 + AA14/1000))*($D$114 + $C$119 + $D$117) + 2*COS(RADIANS(180-B161))*SQRT($C$119^2 + 2*$D$114*$C$119)*SQRT((C161+AA14/1000)^2 + 2*$D$116*(C161+AA14/1000))) - $D$115) * 1000 -D161</f>
        <v>-112.605292895751</v>
      </c>
      <c r="AC14" s="8" t="n">
        <f aca="false">$E$109*$Q$2/(COS(RADIANS(X14)))</f>
        <v>26.0502193467338</v>
      </c>
    </row>
    <row r="15" customFormat="false" ht="12.8" hidden="false" customHeight="false" outlineLevel="0" collapsed="false">
      <c r="B15" s="5"/>
      <c r="C15" s="9" t="s">
        <v>19</v>
      </c>
      <c r="D15" s="9" t="n">
        <v>0.579476</v>
      </c>
      <c r="E15" s="9" t="n">
        <f aca="false">D15*$E$107</f>
        <v>42.9990894184</v>
      </c>
      <c r="F15" s="7"/>
      <c r="G15" s="9" t="n">
        <f aca="false">D15*$E$109</f>
        <v>17.1644847532</v>
      </c>
      <c r="H15" s="7"/>
      <c r="I15" s="9" t="n">
        <f aca="false">D15*$E$108</f>
        <v>25.7699351436</v>
      </c>
      <c r="J15" s="7"/>
      <c r="K15" s="8"/>
      <c r="L15" s="8"/>
      <c r="M15" s="8"/>
      <c r="N15" s="8"/>
      <c r="O15" s="8"/>
      <c r="P15" s="8"/>
      <c r="Q15" s="8"/>
      <c r="R15" s="8"/>
      <c r="W15" s="5" t="n">
        <v>13</v>
      </c>
      <c r="X15" s="8" t="n">
        <f aca="false">180-140.8</f>
        <v>39.2</v>
      </c>
      <c r="Y15" s="8" t="n">
        <f aca="false">$E$107*$Q$2/(COS(RADIANS(X15)))</f>
        <v>66.2686543185596</v>
      </c>
      <c r="Z15" s="8" t="n">
        <f aca="false"> (SQRT($D$114^2 + $D$117^2 + $D$116^2 + 2*$D$114*$D$117 + 2*$D$117*$C$119 - 2*($D$116 + (C162 + Y15/1000))*($D$114 + $C$119 + $D$117) + 2*COS(RADIANS(180-B162))*SQRT($C$119^2 + 2*$D$114*$C$119)*SQRT((C162+Y15/1000)^2 + 2*$D$116*(C162+Y15/1000))) - $D$115) * 1000 - D162</f>
        <v>-217.551121091674</v>
      </c>
      <c r="AA15" s="8" t="n">
        <f aca="false">$E$108*$Q$2/(COS(RADIANS(X15)))</f>
        <v>39.7156997262402</v>
      </c>
      <c r="AB15" s="8" t="n">
        <f aca="false"> (SQRT($D$114^2 + $D$117^2 + $D$116^2 + 2*$D$114*$D$117 + 2*$D$117*$C$119 - 2*($D$116 + (C164 + AA15/1000))*($D$114 + $C$119 + $D$117) + 2*COS(RADIANS(180-B164))*SQRT($C$119^2 + 2*$D$114*$C$119)*SQRT((C164+AA15/1000)^2 + 2*$D$116*(C164+AA15/1000))) - $D$115) * 1000 -D164</f>
        <v>-114.343659151928</v>
      </c>
      <c r="AC15" s="8" t="n">
        <f aca="false">$E$109*$Q$2/(COS(RADIANS(X15)))</f>
        <v>26.4532882451984</v>
      </c>
    </row>
    <row r="16" customFormat="false" ht="12.8" hidden="false" customHeight="false" outlineLevel="0" collapsed="false">
      <c r="B16" s="5"/>
      <c r="C16" s="11" t="s">
        <v>20</v>
      </c>
      <c r="D16" s="11" t="n">
        <v>0.770183</v>
      </c>
      <c r="E16" s="11" t="n">
        <f aca="false">D16*$E$107</f>
        <v>57.1501972222</v>
      </c>
      <c r="F16" s="7"/>
      <c r="G16" s="11" t="n">
        <f aca="false">D16*$E$109</f>
        <v>22.8133595881</v>
      </c>
      <c r="H16" s="7"/>
      <c r="I16" s="11" t="n">
        <f aca="false">D16*$E$108</f>
        <v>34.2508852113</v>
      </c>
      <c r="J16" s="7"/>
      <c r="K16" s="8"/>
      <c r="L16" s="8"/>
      <c r="M16" s="8"/>
      <c r="N16" s="8"/>
      <c r="O16" s="8"/>
      <c r="P16" s="8"/>
      <c r="Q16" s="8"/>
      <c r="R16" s="8"/>
      <c r="W16" s="5" t="n">
        <v>14</v>
      </c>
      <c r="X16" s="8" t="n">
        <f aca="false">180-139.7</f>
        <v>40.3</v>
      </c>
      <c r="Y16" s="8" t="n">
        <f aca="false">$E$107*$Q$2/(COS(RADIANS(X16)))</f>
        <v>67.3353362640627</v>
      </c>
      <c r="Z16" s="8" t="n">
        <f aca="false"> (SQRT($D$114^2 + $D$117^2 + $D$116^2 + 2*$D$114*$D$117 + 2*$D$117*$C$119 - 2*($D$116 + (C165 + Y16/1000))*($D$114 + $C$119 + $D$117) + 2*COS(RADIANS(180-B165))*SQRT($C$119^2 + 2*$D$114*$C$119)*SQRT((C165+Y16/1000)^2 + 2*$D$116*(C165+Y16/1000))) - $D$115) * 1000 -D165</f>
        <v>-218.736716051353</v>
      </c>
      <c r="AA16" s="8" t="n">
        <f aca="false">$E$108*$Q$2/(COS(RADIANS(X16)))</f>
        <v>40.3549766255018</v>
      </c>
      <c r="AB16" s="8" t="n">
        <f aca="false"> (SQRT($D$114^2 + $D$117^2 + $D$116^2 + 2*$D$114*$D$117 + 2*$D$117*$C$119 - 2*($D$116 + (C167 + AA16/1000))*($D$114 + $C$119 + $D$117) + 2*COS(RADIANS(180-B167))*SQRT($C$119^2 + 2*$D$114*$C$119)*SQRT((C167+AA16/1000)^2 + 2*$D$116*(C167+AA16/1000))) - $D$115) * 1000 -D167</f>
        <v>-116.179934379034</v>
      </c>
      <c r="AC16" s="8" t="n">
        <f aca="false">$E$109*$Q$2/(COS(RADIANS(X16)))</f>
        <v>26.8790890293022</v>
      </c>
    </row>
    <row r="17" customFormat="false" ht="12.8" hidden="false" customHeight="false" outlineLevel="0" collapsed="false">
      <c r="B17" s="5" t="n">
        <v>5</v>
      </c>
      <c r="C17" s="6" t="s">
        <v>18</v>
      </c>
      <c r="D17" s="6" t="n">
        <v>0.796995</v>
      </c>
      <c r="E17" s="6" t="n">
        <f aca="false">D17*$E$107</f>
        <v>59.139738783</v>
      </c>
      <c r="F17" s="7" t="n">
        <f aca="false">AVERAGE(E17:E19)</f>
        <v>53.7805713592667</v>
      </c>
      <c r="G17" s="6" t="n">
        <f aca="false">D17*$E$109</f>
        <v>23.6075497965</v>
      </c>
      <c r="H17" s="7" t="n">
        <f aca="false">AVERAGE(G17:G19)</f>
        <v>21.4682638539667</v>
      </c>
      <c r="I17" s="6" t="n">
        <f aca="false">D17*$E$108</f>
        <v>35.4432443445</v>
      </c>
      <c r="J17" s="7" t="n">
        <f aca="false">AVERAGE(I17:I19)</f>
        <v>32.2314229129</v>
      </c>
      <c r="K17" s="8"/>
      <c r="L17" s="8"/>
      <c r="M17" s="8"/>
      <c r="N17" s="8"/>
      <c r="O17" s="8"/>
      <c r="P17" s="8"/>
      <c r="Q17" s="8"/>
      <c r="R17" s="8"/>
      <c r="W17" s="5" t="n">
        <v>15</v>
      </c>
      <c r="X17" s="8" t="n">
        <f aca="false">180-138.6</f>
        <v>41.4</v>
      </c>
      <c r="Y17" s="8" t="n">
        <f aca="false">$E$107*$Q$2/(COS(RADIANS(X17)))</f>
        <v>68.4625657681733</v>
      </c>
      <c r="Z17" s="8" t="n">
        <f aca="false"> (SQRT($D$114^2 + $D$117^2 + $D$116^2 + 2*$D$114*$D$117 + 2*$D$117*$C$119 - 2*($D$116 + (C168 + Y17/1000))*($D$114 + $C$119 + $D$117) + 2*COS(RADIANS(180-B168))*SQRT($C$119^2 + 2*$D$114*$C$119)*SQRT((C168+Y17/1000)^2 + 2*$D$116*(C168+Y17/1000))) - $D$115) * 1000 - D168</f>
        <v>-219.989664929017</v>
      </c>
      <c r="AA17" s="8" t="n">
        <f aca="false">$E$108*$Q$2/(COS(RADIANS(X17)))</f>
        <v>41.0305404945463</v>
      </c>
      <c r="AB17" s="8" t="n">
        <f aca="false"> (SQRT($D$114^2 + $D$117^2 + $D$116^2 + 2*$D$114*$D$117 + 2*$D$117*$C$119 - 2*($D$116 + (C170 + AA17/1000))*($D$114 + $C$119 + $D$117) + 2*COS(RADIANS(180-B170))*SQRT($C$119^2 + 2*$D$114*$C$119)*SQRT((C170+AA17/1000)^2 + 2*$D$116*(C170+AA17/1000))) - $D$115) * 1000 -D170</f>
        <v>-118.120296447159</v>
      </c>
      <c r="AC17" s="8" t="n">
        <f aca="false">$E$109*$Q$2/(COS(RADIANS(X17)))</f>
        <v>27.3290593402638</v>
      </c>
    </row>
    <row r="18" customFormat="false" ht="12.8" hidden="false" customHeight="false" outlineLevel="0" collapsed="false">
      <c r="B18" s="5"/>
      <c r="C18" s="9" t="s">
        <v>19</v>
      </c>
      <c r="D18" s="9" t="n">
        <v>0.627009</v>
      </c>
      <c r="E18" s="9" t="n">
        <f aca="false">D18*$E$107</f>
        <v>46.5261996306</v>
      </c>
      <c r="F18" s="7"/>
      <c r="G18" s="9" t="n">
        <f aca="false">D18*$E$109</f>
        <v>18.5724454863</v>
      </c>
      <c r="H18" s="7"/>
      <c r="I18" s="9" t="n">
        <f aca="false">D18*$E$108</f>
        <v>27.8837799399</v>
      </c>
      <c r="J18" s="7"/>
      <c r="K18" s="8"/>
      <c r="L18" s="8"/>
      <c r="M18" s="8"/>
      <c r="N18" s="8"/>
      <c r="O18" s="8"/>
      <c r="P18" s="8"/>
      <c r="Q18" s="8"/>
      <c r="R18" s="8"/>
      <c r="W18" s="5" t="n">
        <v>16</v>
      </c>
      <c r="X18" s="8" t="n">
        <f aca="false">180-137.5</f>
        <v>42.5</v>
      </c>
      <c r="Y18" s="8" t="n">
        <f aca="false">$E$107*$Q$2/(COS(RADIANS(X18)))</f>
        <v>69.6542886564216</v>
      </c>
      <c r="Z18" s="8" t="n">
        <f aca="false"> (SQRT($D$114^2 + $D$117^2 + $D$116^2 + 2*$D$114*$D$117 + 2*$D$117*$C$119 - 2*($D$116 + (C171 + Y18/1000))*($D$114 + $C$119 + $D$117) + 2*COS(RADIANS(180-B171))*SQRT($C$119^2 + 2*$D$114*$C$119)*SQRT((C171+Y18/1000)^2 + 2*$D$116*(C171+Y18/1000))) - $D$115) * 1000 - D171</f>
        <v>-221.314362290286</v>
      </c>
      <c r="AA18" s="8" t="n">
        <f aca="false">$E$108*$Q$2/(COS(RADIANS(X18)))</f>
        <v>41.7447561199162</v>
      </c>
      <c r="AB18" s="8" t="n">
        <f aca="false"> (SQRT($D$114^2 + $D$117^2 + $D$116^2 + 2*$D$114*$D$117 + 2*$D$117*$C$119 - 2*($D$116 + (C173 + AA18/1000))*($D$114 + $C$119 + $D$117) + 2*COS(RADIANS(180-B173))*SQRT($C$119^2 + 2*$D$114*$C$119)*SQRT((C173+AA18/1000)^2 + 2*$D$116*(C173+AA18/1000))) - $D$115) * 1000 -D173</f>
        <v>-120.171512804518</v>
      </c>
      <c r="AC18" s="8" t="n">
        <f aca="false">$E$109*$Q$2/(COS(RADIANS(X18)))</f>
        <v>27.804774282651</v>
      </c>
    </row>
    <row r="19" customFormat="false" ht="12.8" hidden="false" customHeight="false" outlineLevel="0" collapsed="false">
      <c r="B19" s="5"/>
      <c r="C19" s="11" t="s">
        <v>20</v>
      </c>
      <c r="D19" s="11" t="n">
        <v>0.750313</v>
      </c>
      <c r="E19" s="11" t="n">
        <f aca="false">D19*$E$107</f>
        <v>55.6757756642</v>
      </c>
      <c r="F19" s="7"/>
      <c r="G19" s="11" t="n">
        <f aca="false">D19*$E$109</f>
        <v>22.2247962791</v>
      </c>
      <c r="H19" s="7"/>
      <c r="I19" s="11" t="n">
        <f aca="false">D19*$E$108</f>
        <v>33.3672444543</v>
      </c>
      <c r="J19" s="7"/>
      <c r="K19" s="8"/>
      <c r="L19" s="8"/>
      <c r="M19" s="8"/>
      <c r="N19" s="8"/>
      <c r="O19" s="8"/>
      <c r="P19" s="8"/>
      <c r="Q19" s="8"/>
      <c r="R19" s="8"/>
      <c r="W19" s="5" t="n">
        <v>17</v>
      </c>
      <c r="X19" s="8" t="n">
        <f aca="false">180-136.5</f>
        <v>43.5</v>
      </c>
      <c r="Y19" s="8" t="n">
        <f aca="false">$E$107*$Q$2/(COS(RADIANS(X19)))</f>
        <v>70.7972744699306</v>
      </c>
      <c r="Z19" s="8" t="n">
        <f aca="false"> (SQRT($D$114^2 + $D$117^2 + $D$116^2 + 2*$D$114*$D$117 + 2*$D$117*$C$119 - 2*($D$116 + (C174 + Y19/1000))*($D$114 + $C$119 + $D$117) + 2*COS(RADIANS(180-B174))*SQRT($C$119^2 + 2*$D$114*$C$119)*SQRT((C174+Y19/1000)^2 + 2*$D$116*(C174+Y19/1000))) - $D$115) * 1000 - D174</f>
        <v>-222.584943512629</v>
      </c>
      <c r="AA19" s="8" t="n">
        <f aca="false">$E$108*$Q$2/(COS(RADIANS(X19)))</f>
        <v>42.4297629580279</v>
      </c>
      <c r="AB19" s="8" t="n">
        <f aca="false"> (SQRT($D$114^2 + $D$117^2 + $D$116^2 + 2*$D$114*$D$117 + 2*$D$117*$C$119 - 2*($D$116 + (C176 + AA19/1000))*($D$114 + $C$119 + $D$117) + 2*COS(RADIANS(180-B176))*SQRT($C$119^2 + 2*$D$114*$C$119)*SQRT((C176+AA19/1000)^2 + 2*$D$116*(C176+AA19/1000))) - $D$115) * 1000 -D176</f>
        <v>-122.138685874233</v>
      </c>
      <c r="AC19" s="8" t="n">
        <f aca="false">$E$109*$Q$2/(COS(RADIANS(X19)))</f>
        <v>28.2610342368607</v>
      </c>
    </row>
    <row r="20" customFormat="false" ht="12.8" hidden="false" customHeight="false" outlineLevel="0" collapsed="false">
      <c r="B20" s="5" t="n">
        <v>6</v>
      </c>
      <c r="C20" s="6" t="s">
        <v>18</v>
      </c>
      <c r="D20" s="6" t="n">
        <v>0.785646</v>
      </c>
      <c r="E20" s="6" t="n">
        <f aca="false">D20*$E$107</f>
        <v>58.2976043964</v>
      </c>
      <c r="F20" s="7" t="n">
        <f aca="false">AVERAGE(E20:E22)</f>
        <v>53.9659561869333</v>
      </c>
      <c r="G20" s="6" t="n">
        <f aca="false">D20*$E$109</f>
        <v>23.2713844722</v>
      </c>
      <c r="H20" s="7" t="n">
        <f aca="false">AVERAGE(G20:G22)</f>
        <v>21.5422662361333</v>
      </c>
      <c r="I20" s="6" t="n">
        <f aca="false">D20*$E$108</f>
        <v>34.9385418306</v>
      </c>
      <c r="J20" s="7" t="n">
        <f aca="false">AVERAGE(I20:I22)</f>
        <v>32.3425265444</v>
      </c>
      <c r="K20" s="8"/>
      <c r="L20" s="8"/>
      <c r="M20" s="8"/>
      <c r="N20" s="8"/>
      <c r="O20" s="8"/>
      <c r="P20" s="8"/>
      <c r="Q20" s="8"/>
      <c r="R20" s="8"/>
      <c r="W20" s="5" t="n">
        <v>18</v>
      </c>
      <c r="X20" s="8" t="n">
        <f aca="false">180-135.5</f>
        <v>44.5</v>
      </c>
      <c r="Y20" s="8" t="n">
        <f aca="false">$E$107*$Q$2/(COS(RADIANS(X20)))</f>
        <v>72.0006955465779</v>
      </c>
      <c r="Z20" s="8" t="n">
        <f aca="false"> (SQRT($D$114^2 + $D$117^2 + $D$116^2 + 2*$D$114*$D$117 + 2*$D$117*$C$119 - 2*($D$116 + (C177 + Y20/1000))*($D$114 + $C$119 + $D$117) + 2*COS(RADIANS(180-B177))*SQRT($C$119^2 + 2*$D$114*$C$119)*SQRT((C177+Y20/1000)^2 + 2*$D$116*(C177+Y20/1000))) - $D$115) * 1000 - D177</f>
        <v>-223.922768160264</v>
      </c>
      <c r="AA20" s="8" t="n">
        <f aca="false">$E$108*$Q$2/(COS(RADIANS(X20)))</f>
        <v>43.150989465731</v>
      </c>
      <c r="AB20" s="8" t="n">
        <f aca="false"> (SQRT($D$114^2 + $D$117^2 + $D$116^2 + 2*$D$114*$D$117 + 2*$D$117*$C$119 - 2*($D$116 + (C179 + AA20/1000))*($D$114 + $C$119 + $D$117) + 2*COS(RADIANS(180-B179))*SQRT($C$119^2 + 2*$D$114*$C$119)*SQRT((C179+AA20/1000)^2 + 2*$D$116*(C179+AA20/1000))) - $D$115) * 1000 -D179</f>
        <v>-124.209707919363</v>
      </c>
      <c r="AC20" s="8" t="n">
        <f aca="false">$E$109*$Q$2/(COS(RADIANS(X20)))</f>
        <v>28.7414188915403</v>
      </c>
    </row>
    <row r="21" customFormat="false" ht="12.8" hidden="false" customHeight="false" outlineLevel="0" collapsed="false">
      <c r="B21" s="5"/>
      <c r="C21" s="9" t="s">
        <v>19</v>
      </c>
      <c r="D21" s="9" t="n">
        <v>0.584629</v>
      </c>
      <c r="E21" s="9" t="n">
        <f aca="false">D21*$E$107</f>
        <v>43.3814595386</v>
      </c>
      <c r="F21" s="7"/>
      <c r="G21" s="9" t="n">
        <f aca="false">D21*$E$109</f>
        <v>17.3171202203</v>
      </c>
      <c r="H21" s="7"/>
      <c r="I21" s="9" t="n">
        <f aca="false">D21*$E$108</f>
        <v>25.9990947219</v>
      </c>
      <c r="J21" s="7"/>
      <c r="K21" s="8"/>
      <c r="L21" s="8"/>
      <c r="M21" s="8"/>
      <c r="N21" s="8"/>
      <c r="O21" s="8"/>
      <c r="P21" s="8"/>
      <c r="Q21" s="8"/>
      <c r="R21" s="8"/>
      <c r="W21" s="5" t="n">
        <v>19</v>
      </c>
      <c r="X21" s="8" t="n">
        <f aca="false">180-134.6</f>
        <v>45.4</v>
      </c>
      <c r="Y21" s="8" t="n">
        <f aca="false">$E$107*$Q$2/(COS(RADIANS(X21)))</f>
        <v>73.1386529175484</v>
      </c>
      <c r="Z21" s="8" t="n">
        <f aca="false"> (SQRT($D$114^2 + $D$117^2 + $D$116^2 + 2*$D$114*$D$117 + 2*$D$117*$C$119 - 2*($D$116 + (C180 + Y21/1000))*($D$114 + $C$119 + $D$117) + 2*COS(RADIANS(180-B180))*SQRT($C$119^2 + 2*$D$114*$C$119)*SQRT((C180+Y21/1000)^2 + 2*$D$116*(C180+Y21/1000))) - $D$115) * 1000 - D180</f>
        <v>-225.187875068514</v>
      </c>
      <c r="AA21" s="8" t="n">
        <f aca="false">$E$108*$Q$2/(COS(RADIANS(X21)))</f>
        <v>43.8329826903024</v>
      </c>
      <c r="AB21" s="8" t="n">
        <f aca="false"> (SQRT($D$114^2 + $D$117^2 + $D$116^2 + 2*$D$114*$D$117 + 2*$D$117*$C$119 - 2*($D$116 + (C182 + AA21/1000))*($D$114 + $C$119 + $D$117) + 2*COS(RADIANS(180-B182))*SQRT($C$119^2 + 2*$D$114*$C$119)*SQRT((C182+AA21/1000)^2 + 2*$D$116*(C182+AA21/1000))) - $D$115) * 1000 -D182</f>
        <v>-126.167914768303</v>
      </c>
      <c r="AC21" s="8" t="n">
        <f aca="false">$E$109*$Q$2/(COS(RADIANS(X21)))</f>
        <v>29.1956715793997</v>
      </c>
    </row>
    <row r="22" customFormat="false" ht="12.8" hidden="false" customHeight="false" outlineLevel="0" collapsed="false">
      <c r="B22" s="5"/>
      <c r="C22" s="11" t="s">
        <v>20</v>
      </c>
      <c r="D22" s="11" t="n">
        <v>0.811537</v>
      </c>
      <c r="E22" s="11" t="n">
        <f aca="false">D22*$E$107</f>
        <v>60.2188046258</v>
      </c>
      <c r="F22" s="7"/>
      <c r="G22" s="11" t="n">
        <f aca="false">D22*$E$109</f>
        <v>24.0382940159</v>
      </c>
      <c r="H22" s="7"/>
      <c r="I22" s="11" t="n">
        <f aca="false">D22*$E$108</f>
        <v>36.0899430807</v>
      </c>
      <c r="J22" s="7"/>
      <c r="K22" s="8"/>
      <c r="L22" s="8"/>
      <c r="M22" s="8"/>
      <c r="N22" s="8"/>
      <c r="O22" s="8"/>
      <c r="P22" s="8"/>
      <c r="Q22" s="8"/>
      <c r="R22" s="8"/>
      <c r="W22" s="5" t="n">
        <v>20</v>
      </c>
      <c r="X22" s="8" t="n">
        <f aca="false">180-133.7</f>
        <v>46.3</v>
      </c>
      <c r="Y22" s="8" t="n">
        <f aca="false">$E$107*$Q$2/(COS(RADIANS(X22)))</f>
        <v>74.3317931020496</v>
      </c>
      <c r="Z22" s="8" t="n">
        <f aca="false"> (SQRT($D$114^2 + $D$117^2 + $D$116^2 + 2*$D$114*$D$117 + 2*$D$117*$C$119 - 2*($D$116 + (C183 + Y22/1000))*($D$114 + $C$119 + $D$117) + 2*COS(RADIANS(180-B183))*SQRT($C$119^2 + 2*$D$114*$C$119)*SQRT((C183+Y22/1000)^2 + 2*$D$116*(C183+Y22/1000))) - $D$115) * 1000 - D183</f>
        <v>-226.514389563818</v>
      </c>
      <c r="AA22" s="8" t="n">
        <f aca="false">$E$108*$Q$2/(COS(RADIANS(X22)))</f>
        <v>44.5480477204624</v>
      </c>
      <c r="AB22" s="8" t="n">
        <f aca="false"> (SQRT($D$114^2 + $D$117^2 + $D$116^2 + 2*$D$114*$D$117 + 2*$D$117*$C$119 - 2*($D$116 + (C185 + AA22/1000))*($D$114 + $C$119 + $D$117) + 2*COS(RADIANS(180-B185))*SQRT($C$119^2 + 2*$D$114*$C$119)*SQRT((C185+AA22/1000)^2 + 2*$D$116*(C185+AA22/1000))) - $D$115) * 1000 -D185</f>
        <v>-128.220918177249</v>
      </c>
      <c r="AC22" s="8" t="n">
        <f aca="false">$E$109*$Q$2/(COS(RADIANS(X22)))</f>
        <v>29.6719522816728</v>
      </c>
    </row>
    <row r="23" customFormat="false" ht="12.8" hidden="false" customHeight="false" outlineLevel="0" collapsed="false">
      <c r="B23" s="5" t="n">
        <v>7</v>
      </c>
      <c r="C23" s="6" t="s">
        <v>18</v>
      </c>
      <c r="D23" s="6" t="n">
        <v>0.834685</v>
      </c>
      <c r="E23" s="6" t="n">
        <f aca="false">D23*$E$107</f>
        <v>61.936464929</v>
      </c>
      <c r="F23" s="7" t="n">
        <f aca="false">AVERAGE(E23:E25)</f>
        <v>55.8865875236</v>
      </c>
      <c r="G23" s="6" t="n">
        <f aca="false">D23*$E$109</f>
        <v>24.7239539795</v>
      </c>
      <c r="H23" s="7" t="n">
        <f aca="false">AVERAGE(G23:G25)</f>
        <v>22.3089486878</v>
      </c>
      <c r="I23" s="6" t="n">
        <f aca="false">D23*$E$108</f>
        <v>37.1193601035</v>
      </c>
      <c r="J23" s="7" t="n">
        <f aca="false">AVERAGE(I23:I25)</f>
        <v>33.4935868494</v>
      </c>
      <c r="K23" s="8"/>
      <c r="L23" s="8"/>
      <c r="M23" s="8"/>
      <c r="N23" s="8"/>
      <c r="O23" s="8"/>
      <c r="P23" s="8"/>
      <c r="Q23" s="8"/>
      <c r="R23" s="8"/>
      <c r="W23" s="5" t="n">
        <v>21</v>
      </c>
      <c r="X23" s="8" t="n">
        <f aca="false">180-132.8</f>
        <v>47.2</v>
      </c>
      <c r="Y23" s="8" t="n">
        <f aca="false">$E$107*$Q$2/(COS(RADIANS(X23)))</f>
        <v>75.5834655854891</v>
      </c>
      <c r="Z23" s="8" t="n">
        <f aca="false"> (SQRT($D$114^2 + $D$117^2 + $D$116^2 + 2*$D$114*$D$117 + 2*$D$117*$C$119 - 2*($D$116 + (C186 + Y23/1000))*($D$114 + $C$119 + $D$117) + 2*COS(RADIANS(180-B186))*SQRT($C$119^2 + 2*$D$114*$C$119)*SQRT((C186+Y23/1000)^2 + 2*$D$116*(C186+Y23/1000))) - $D$115) * 1000 - D186</f>
        <v>-227.906043292023</v>
      </c>
      <c r="AA23" s="8" t="n">
        <f aca="false">$E$108*$Q$2/(COS(RADIANS(X23)))</f>
        <v>45.2981919480623</v>
      </c>
      <c r="AB23" s="8" t="n">
        <f aca="false"> (SQRT($D$114^2 + $D$117^2 + $D$116^2 + 2*$D$114*$D$117 + 2*$D$117*$C$119 - 2*($D$116 + (C188 + AA23/1000))*($D$114 + $C$119 + $D$117) + 2*COS(RADIANS(180-B188))*SQRT($C$119^2 + 2*$D$114*$C$119)*SQRT((C188+AA23/1000)^2 + 2*$D$116*(C188+AA23/1000))) - $D$115) * 1000 -D188</f>
        <v>-130.374457785365</v>
      </c>
      <c r="AC23" s="8" t="n">
        <f aca="false">$E$109*$Q$2/(COS(RADIANS(X23)))</f>
        <v>30.1715980543762</v>
      </c>
    </row>
    <row r="24" customFormat="false" ht="12.8" hidden="false" customHeight="false" outlineLevel="0" collapsed="false">
      <c r="B24" s="5"/>
      <c r="C24" s="9" t="s">
        <v>19</v>
      </c>
      <c r="D24" s="9" t="n">
        <v>0.62672</v>
      </c>
      <c r="E24" s="9" t="n">
        <f aca="false">D24*$E$107</f>
        <v>46.504754848</v>
      </c>
      <c r="F24" s="7"/>
      <c r="G24" s="9" t="n">
        <f aca="false">D24*$E$109</f>
        <v>18.563885104</v>
      </c>
      <c r="H24" s="7"/>
      <c r="I24" s="9" t="n">
        <f aca="false">D24*$E$108</f>
        <v>27.870927792</v>
      </c>
      <c r="J24" s="7"/>
      <c r="K24" s="8"/>
      <c r="L24" s="8"/>
      <c r="M24" s="8"/>
      <c r="N24" s="8"/>
      <c r="O24" s="8"/>
      <c r="P24" s="8"/>
      <c r="Q24" s="8"/>
      <c r="R24" s="8"/>
      <c r="W24" s="5" t="n">
        <v>22</v>
      </c>
      <c r="X24" s="8" t="n">
        <f aca="false">180-131.9</f>
        <v>48.1</v>
      </c>
      <c r="Y24" s="8" t="n">
        <f aca="false">$E$107*$Q$2/(COS(RADIANS(X24)))</f>
        <v>76.8973120841465</v>
      </c>
      <c r="Z24" s="8" t="n">
        <f aca="false"> (SQRT($D$114^2 + $D$117^2 + $D$116^2 + 2*$D$114*$D$117 + 2*$D$117*$C$119 - 2*($D$116 + (C189 + Y24/1000))*($D$114 + $C$119 + $D$117) + 2*COS(RADIANS(180-B189))*SQRT($C$119^2 + 2*$D$114*$C$119)*SQRT((C189+Y24/1000)^2 + 2*$D$116*(C189+Y24/1000))) - $D$115) * 1000 - D189</f>
        <v>-229.366893760016</v>
      </c>
      <c r="AA24" s="8" t="n">
        <f aca="false">$E$108*$Q$2/(COS(RADIANS(X24)))</f>
        <v>46.0855979028628</v>
      </c>
      <c r="AB24" s="8" t="n">
        <f aca="false"> (SQRT($D$114^2 + $D$117^2 + $D$116^2 + 2*$D$114*$D$117 + 2*$D$117*$C$119 - 2*($D$116 + (C191 + AA24/1000))*($D$114 + $C$119 + $D$117) + 2*COS(RADIANS(180-B191))*SQRT($C$119^2 + 2*$D$114*$C$119)*SQRT((C191+AA24/1000)^2 + 2*$D$116*(C191+AA24/1000))) - $D$115) * 1000 -D191</f>
        <v>-132.634772860911</v>
      </c>
      <c r="AC24" s="8" t="n">
        <f aca="false">$E$109*$Q$2/(COS(RADIANS(X24)))</f>
        <v>30.6960626069813</v>
      </c>
    </row>
    <row r="25" customFormat="false" ht="12.8" hidden="false" customHeight="false" outlineLevel="0" collapsed="false">
      <c r="B25" s="5"/>
      <c r="C25" s="11" t="s">
        <v>20</v>
      </c>
      <c r="D25" s="11" t="n">
        <v>0.798057</v>
      </c>
      <c r="E25" s="11" t="n">
        <f aca="false">D25*$E$107</f>
        <v>59.2185427938</v>
      </c>
      <c r="F25" s="7"/>
      <c r="G25" s="11" t="n">
        <f aca="false">D25*$E$109</f>
        <v>23.6390069799</v>
      </c>
      <c r="H25" s="7"/>
      <c r="I25" s="11" t="n">
        <f aca="false">D25*$E$108</f>
        <v>35.4904726527</v>
      </c>
      <c r="J25" s="7"/>
      <c r="K25" s="8"/>
      <c r="L25" s="8"/>
      <c r="M25" s="8"/>
      <c r="N25" s="8"/>
      <c r="O25" s="8"/>
      <c r="P25" s="8"/>
      <c r="Q25" s="8"/>
      <c r="R25" s="8"/>
      <c r="W25" s="5" t="n">
        <v>23</v>
      </c>
      <c r="X25" s="8" t="n">
        <f aca="false">180-131</f>
        <v>49</v>
      </c>
      <c r="Y25" s="8" t="n">
        <f aca="false">$E$107*$Q$2/(COS(RADIANS(X25)))</f>
        <v>78.2772984879585</v>
      </c>
      <c r="Z25" s="8" t="n">
        <f aca="false"> (SQRT($D$114^2 + $D$117^2 + $D$116^2 + 2*$D$114*$D$117 + 2*$D$117*$C$119 - 2*($D$116 + (C192 + Y25/1000))*($D$114 + $C$119 + $D$117) + 2*COS(RADIANS(180-B192))*SQRT($C$119^2 + 2*$D$114*$C$119)*SQRT((C192+Y25/1000)^2 + 2*$D$116*(C192+Y25/1000))) - $D$115) * 1000 - D192</f>
        <v>-230.901359973359</v>
      </c>
      <c r="AA25" s="8" t="n">
        <f aca="false">$E$108*$Q$2/(COS(RADIANS(X25)))</f>
        <v>46.9126423962764</v>
      </c>
      <c r="AB25" s="8" t="n">
        <f aca="false"> (SQRT($D$114^2 + $D$117^2 + $D$116^2 + 2*$D$114*$D$117 + 2*$D$117*$C$119 - 2*($D$116 + (C194 + AA25/1000))*($D$114 + $C$119 + $D$117) + 2*COS(RADIANS(180-B194))*SQRT($C$119^2 + 2*$D$114*$C$119)*SQRT((C194+AA25/1000)^2 + 2*$D$116*(C194+AA25/1000))) - $D$115) * 1000 -D194</f>
        <v>-135.008656779974</v>
      </c>
      <c r="AC25" s="8" t="n">
        <f aca="false">$E$109*$Q$2/(COS(RADIANS(X25)))</f>
        <v>31.2469290534163</v>
      </c>
    </row>
    <row r="26" customFormat="false" ht="12.8" hidden="false" customHeight="false" outlineLevel="0" collapsed="false">
      <c r="B26" s="5" t="n">
        <v>8</v>
      </c>
      <c r="C26" s="6" t="s">
        <v>18</v>
      </c>
      <c r="D26" s="6" t="n">
        <v>0.817009</v>
      </c>
      <c r="E26" s="6" t="n">
        <f aca="false">D26*$E$107</f>
        <v>60.6248456306</v>
      </c>
      <c r="F26" s="7" t="n">
        <f aca="false">AVERAGE(E26:E28)</f>
        <v>56.6308723600667</v>
      </c>
      <c r="G26" s="6" t="n">
        <f aca="false">D26*$E$109</f>
        <v>24.2003784863</v>
      </c>
      <c r="H26" s="7" t="n">
        <f aca="false">AVERAGE(G26:G28)</f>
        <v>22.6060541823667</v>
      </c>
      <c r="I26" s="6" t="n">
        <f aca="false">D26*$E$108</f>
        <v>36.3332889399</v>
      </c>
      <c r="J26" s="7" t="n">
        <f aca="false">AVERAGE(I26:I28)</f>
        <v>33.9396468061</v>
      </c>
      <c r="K26" s="8"/>
      <c r="L26" s="8"/>
      <c r="M26" s="8"/>
      <c r="N26" s="8"/>
      <c r="O26" s="8"/>
      <c r="P26" s="8"/>
      <c r="Q26" s="8"/>
      <c r="R26" s="8"/>
    </row>
    <row r="27" customFormat="false" ht="12.8" hidden="false" customHeight="false" outlineLevel="0" collapsed="false">
      <c r="B27" s="5"/>
      <c r="C27" s="9" t="s">
        <v>19</v>
      </c>
      <c r="D27" s="9" t="n">
        <v>0.667286</v>
      </c>
      <c r="E27" s="9" t="n">
        <f aca="false">D27*$E$107</f>
        <v>49.5148899724</v>
      </c>
      <c r="F27" s="7"/>
      <c r="G27" s="9" t="n">
        <f aca="false">D27*$E$109</f>
        <v>19.7654784202</v>
      </c>
      <c r="H27" s="7"/>
      <c r="I27" s="9" t="n">
        <f aca="false">D27*$E$108</f>
        <v>29.6749424346</v>
      </c>
      <c r="J27" s="7"/>
      <c r="K27" s="8"/>
      <c r="L27" s="8"/>
      <c r="M27" s="8"/>
      <c r="N27" s="8"/>
      <c r="O27" s="8"/>
      <c r="P27" s="8"/>
      <c r="Q27" s="8"/>
      <c r="R27" s="8"/>
    </row>
    <row r="28" customFormat="false" ht="12.8" hidden="false" customHeight="false" outlineLevel="0" collapsed="false">
      <c r="B28" s="5"/>
      <c r="C28" s="11" t="s">
        <v>20</v>
      </c>
      <c r="D28" s="11" t="n">
        <v>0.805258</v>
      </c>
      <c r="E28" s="11" t="n">
        <f aca="false">D28*$E$107</f>
        <v>59.7528814772</v>
      </c>
      <c r="F28" s="7"/>
      <c r="G28" s="11" t="n">
        <f aca="false">D28*$E$109</f>
        <v>23.8523056406</v>
      </c>
      <c r="H28" s="7"/>
      <c r="I28" s="11" t="n">
        <f aca="false">D28*$E$108</f>
        <v>35.8107090438</v>
      </c>
      <c r="J28" s="7"/>
      <c r="K28" s="8"/>
      <c r="L28" s="8"/>
      <c r="M28" s="8"/>
      <c r="N28" s="8"/>
      <c r="O28" s="8"/>
      <c r="P28" s="8"/>
      <c r="Q28" s="8"/>
      <c r="R28" s="8"/>
    </row>
    <row r="29" customFormat="false" ht="12.8" hidden="false" customHeight="false" outlineLevel="0" collapsed="false">
      <c r="B29" s="5" t="n">
        <v>9</v>
      </c>
      <c r="C29" s="6" t="s">
        <v>18</v>
      </c>
      <c r="D29" s="6" t="n">
        <v>0.762251</v>
      </c>
      <c r="E29" s="6" t="n">
        <f aca="false">D29*$E$107</f>
        <v>56.5616158534</v>
      </c>
      <c r="F29" s="7" t="n">
        <f aca="false">AVERAGE(E29:E31)</f>
        <v>53.7805960937333</v>
      </c>
      <c r="G29" s="6" t="n">
        <f aca="false">D29*$E$109</f>
        <v>22.5784081957</v>
      </c>
      <c r="H29" s="7" t="n">
        <f aca="false">AVERAGE(G29:G31)</f>
        <v>21.4682737275333</v>
      </c>
      <c r="I29" s="6" t="n">
        <f aca="false">D29*$E$108</f>
        <v>33.8981404461</v>
      </c>
      <c r="J29" s="7" t="n">
        <f aca="false">AVERAGE(I29:I31)</f>
        <v>32.2314377366</v>
      </c>
      <c r="K29" s="8"/>
      <c r="L29" s="8"/>
      <c r="M29" s="8"/>
      <c r="N29" s="8"/>
      <c r="O29" s="8"/>
      <c r="P29" s="8"/>
      <c r="Q29" s="8"/>
      <c r="R29" s="8"/>
    </row>
    <row r="30" customFormat="false" ht="12.8" hidden="false" customHeight="false" outlineLevel="0" collapsed="false">
      <c r="B30" s="5"/>
      <c r="C30" s="9" t="s">
        <v>19</v>
      </c>
      <c r="D30" s="9" t="n">
        <v>0.619591</v>
      </c>
      <c r="E30" s="9" t="n">
        <f aca="false">D30*$E$107</f>
        <v>45.9757588094</v>
      </c>
      <c r="F30" s="7"/>
      <c r="G30" s="9" t="n">
        <f aca="false">D30*$E$109</f>
        <v>18.3527191337</v>
      </c>
      <c r="H30" s="7"/>
      <c r="I30" s="9" t="n">
        <f aca="false">D30*$E$108</f>
        <v>27.5538933201</v>
      </c>
      <c r="J30" s="7"/>
      <c r="K30" s="8"/>
      <c r="L30" s="8"/>
      <c r="M30" s="8"/>
      <c r="N30" s="8"/>
      <c r="O30" s="8"/>
      <c r="P30" s="8"/>
      <c r="Q30" s="8"/>
      <c r="R30" s="8"/>
    </row>
    <row r="31" customFormat="false" ht="12.8" hidden="false" customHeight="false" outlineLevel="0" collapsed="false">
      <c r="B31" s="5"/>
      <c r="C31" s="11" t="s">
        <v>20</v>
      </c>
      <c r="D31" s="11" t="n">
        <v>0.792476</v>
      </c>
      <c r="E31" s="11" t="n">
        <f aca="false">D31*$E$107</f>
        <v>58.8044136184</v>
      </c>
      <c r="F31" s="7"/>
      <c r="G31" s="11" t="n">
        <f aca="false">D31*$E$109</f>
        <v>23.4736938532</v>
      </c>
      <c r="H31" s="7"/>
      <c r="I31" s="11" t="n">
        <f aca="false">D31*$E$108</f>
        <v>35.2422794436</v>
      </c>
      <c r="J31" s="7"/>
      <c r="K31" s="8"/>
      <c r="L31" s="8"/>
      <c r="M31" s="8"/>
      <c r="N31" s="8"/>
      <c r="O31" s="8"/>
      <c r="P31" s="8"/>
      <c r="Q31" s="8"/>
      <c r="R31" s="8"/>
    </row>
    <row r="32" customFormat="false" ht="12.8" hidden="false" customHeight="false" outlineLevel="0" collapsed="false">
      <c r="B32" s="5" t="n">
        <v>10</v>
      </c>
      <c r="C32" s="6" t="s">
        <v>18</v>
      </c>
      <c r="D32" s="6" t="n">
        <v>0.835604</v>
      </c>
      <c r="E32" s="6" t="n">
        <f aca="false">D32*$E$107</f>
        <v>62.0046578536</v>
      </c>
      <c r="F32" s="7" t="n">
        <f aca="false">AVERAGE(E32:E34)</f>
        <v>56.0103093258667</v>
      </c>
      <c r="G32" s="6" t="n">
        <f aca="false">D32*$E$109</f>
        <v>24.7511754028</v>
      </c>
      <c r="H32" s="7" t="n">
        <f aca="false">AVERAGE(G32:G34)</f>
        <v>22.3583362682667</v>
      </c>
      <c r="I32" s="6" t="n">
        <f aca="false">D32*$E$108</f>
        <v>37.1602290444</v>
      </c>
      <c r="J32" s="7" t="n">
        <f aca="false">AVERAGE(I32:I34)</f>
        <v>33.5677349968</v>
      </c>
      <c r="K32" s="8"/>
      <c r="L32" s="8"/>
      <c r="M32" s="8"/>
      <c r="N32" s="8"/>
      <c r="O32" s="8"/>
      <c r="P32" s="8"/>
      <c r="Q32" s="8"/>
      <c r="R32" s="8"/>
    </row>
    <row r="33" customFormat="false" ht="12.8" hidden="false" customHeight="false" outlineLevel="0" collapsed="false">
      <c r="B33" s="5"/>
      <c r="C33" s="9" t="s">
        <v>19</v>
      </c>
      <c r="D33" s="9" t="n">
        <v>0.623881</v>
      </c>
      <c r="E33" s="9" t="n">
        <f aca="false">D33*$E$107</f>
        <v>46.2940913954</v>
      </c>
      <c r="F33" s="7"/>
      <c r="G33" s="9" t="n">
        <f aca="false">D33*$E$109</f>
        <v>18.4797919367</v>
      </c>
      <c r="H33" s="7"/>
      <c r="I33" s="9" t="n">
        <f aca="false">D33*$E$108</f>
        <v>27.7446743391</v>
      </c>
      <c r="J33" s="7"/>
      <c r="K33" s="8"/>
      <c r="L33" s="8"/>
      <c r="M33" s="8"/>
      <c r="N33" s="8"/>
      <c r="O33" s="8"/>
      <c r="P33" s="8"/>
      <c r="Q33" s="8"/>
      <c r="R33" s="8"/>
    </row>
    <row r="34" customFormat="false" ht="12.8" hidden="false" customHeight="false" outlineLevel="0" collapsed="false">
      <c r="B34" s="5"/>
      <c r="C34" s="11" t="s">
        <v>20</v>
      </c>
      <c r="D34" s="11" t="n">
        <v>0.804979</v>
      </c>
      <c r="E34" s="11" t="n">
        <f aca="false">D34*$E$107</f>
        <v>59.7321787286</v>
      </c>
      <c r="F34" s="7"/>
      <c r="G34" s="11" t="n">
        <f aca="false">D34*$E$109</f>
        <v>23.8440414653</v>
      </c>
      <c r="H34" s="7"/>
      <c r="I34" s="11" t="n">
        <f aca="false">D34*$E$108</f>
        <v>35.7983016069</v>
      </c>
      <c r="J34" s="7"/>
      <c r="K34" s="8"/>
      <c r="L34" s="8"/>
      <c r="M34" s="8"/>
      <c r="N34" s="8"/>
      <c r="O34" s="8"/>
      <c r="P34" s="8"/>
      <c r="Q34" s="8"/>
      <c r="R34" s="8"/>
    </row>
    <row r="35" customFormat="false" ht="12.8" hidden="false" customHeight="false" outlineLevel="0" collapsed="false">
      <c r="B35" s="5" t="n">
        <v>11</v>
      </c>
      <c r="C35" s="6" t="s">
        <v>18</v>
      </c>
      <c r="D35" s="6" t="n">
        <v>0.830065</v>
      </c>
      <c r="E35" s="6" t="n">
        <f aca="false">D35*$E$107</f>
        <v>61.593645221</v>
      </c>
      <c r="F35" s="7" t="n">
        <f aca="false">AVERAGE(E35:E37)</f>
        <v>56.4769003050667</v>
      </c>
      <c r="G35" s="6" t="n">
        <f aca="false">D35*$E$109</f>
        <v>24.5871063455</v>
      </c>
      <c r="H35" s="7" t="n">
        <f aca="false">AVERAGE(G35:G37)</f>
        <v>22.5445912298667</v>
      </c>
      <c r="I35" s="6" t="n">
        <f aca="false">D35*$E$108</f>
        <v>36.9139036215</v>
      </c>
      <c r="J35" s="7" t="n">
        <f aca="false">AVERAGE(I35:I37)</f>
        <v>33.8473692736</v>
      </c>
      <c r="K35" s="8"/>
      <c r="L35" s="8"/>
      <c r="M35" s="8"/>
      <c r="N35" s="8"/>
      <c r="O35" s="8"/>
      <c r="P35" s="8"/>
      <c r="Q35" s="8"/>
      <c r="R35" s="8"/>
    </row>
    <row r="36" customFormat="false" ht="12.8" hidden="false" customHeight="false" outlineLevel="0" collapsed="false">
      <c r="B36" s="5"/>
      <c r="C36" s="9" t="s">
        <v>19</v>
      </c>
      <c r="D36" s="9" t="n">
        <v>0.619332</v>
      </c>
      <c r="E36" s="9" t="n">
        <f aca="false">D36*$E$107</f>
        <v>45.9565401288</v>
      </c>
      <c r="F36" s="7"/>
      <c r="G36" s="9" t="n">
        <f aca="false">D36*$E$109</f>
        <v>18.3450473724</v>
      </c>
      <c r="H36" s="7"/>
      <c r="I36" s="9" t="n">
        <f aca="false">D36*$E$108</f>
        <v>27.5423753052</v>
      </c>
      <c r="J36" s="7"/>
      <c r="K36" s="8"/>
      <c r="L36" s="8"/>
      <c r="M36" s="8"/>
      <c r="N36" s="8"/>
      <c r="O36" s="8"/>
      <c r="P36" s="8"/>
      <c r="Q36" s="8"/>
      <c r="R36" s="8"/>
    </row>
    <row r="37" customFormat="false" ht="12.8" hidden="false" customHeight="false" outlineLevel="0" collapsed="false">
      <c r="B37" s="5"/>
      <c r="C37" s="11" t="s">
        <v>20</v>
      </c>
      <c r="D37" s="11" t="n">
        <v>0.833931</v>
      </c>
      <c r="E37" s="11" t="n">
        <f aca="false">D37*$E$107</f>
        <v>61.8805155654</v>
      </c>
      <c r="F37" s="7"/>
      <c r="G37" s="11" t="n">
        <f aca="false">D37*$E$109</f>
        <v>24.7016199717</v>
      </c>
      <c r="H37" s="7"/>
      <c r="I37" s="11" t="n">
        <f aca="false">D37*$E$108</f>
        <v>37.0858288941</v>
      </c>
      <c r="J37" s="7"/>
      <c r="K37" s="8"/>
      <c r="L37" s="8"/>
      <c r="M37" s="8"/>
      <c r="N37" s="8"/>
      <c r="O37" s="8"/>
      <c r="P37" s="8"/>
      <c r="Q37" s="8"/>
      <c r="R37" s="8"/>
    </row>
    <row r="38" customFormat="false" ht="12.8" hidden="false" customHeight="false" outlineLevel="0" collapsed="false">
      <c r="B38" s="5" t="n">
        <v>12</v>
      </c>
      <c r="C38" s="6" t="s">
        <v>18</v>
      </c>
      <c r="D38" s="6" t="n">
        <v>0.853597</v>
      </c>
      <c r="E38" s="6" t="n">
        <f aca="false">D38*$E$107</f>
        <v>63.3397996298</v>
      </c>
      <c r="F38" s="7" t="n">
        <f aca="false">AVERAGE(E38:E40)</f>
        <v>58.4963705705333</v>
      </c>
      <c r="G38" s="6" t="n">
        <f aca="false">D38*$E$109</f>
        <v>25.2841406579</v>
      </c>
      <c r="H38" s="7" t="n">
        <f aca="false">AVERAGE(G38:G40)</f>
        <v>23.3507284539333</v>
      </c>
      <c r="I38" s="6" t="n">
        <f aca="false">D38*$E$108</f>
        <v>37.9603975467</v>
      </c>
      <c r="J38" s="7" t="n">
        <f aca="false">AVERAGE(I38:I40)</f>
        <v>35.0576650838</v>
      </c>
      <c r="K38" s="8"/>
      <c r="L38" s="8"/>
      <c r="M38" s="8"/>
      <c r="N38" s="8"/>
      <c r="O38" s="8"/>
      <c r="P38" s="8"/>
      <c r="Q38" s="8"/>
      <c r="R38" s="8"/>
    </row>
    <row r="39" customFormat="false" ht="12.8" hidden="false" customHeight="false" outlineLevel="0" collapsed="false">
      <c r="B39" s="5"/>
      <c r="C39" s="9" t="s">
        <v>19</v>
      </c>
      <c r="D39" s="9" t="n">
        <v>0.669423</v>
      </c>
      <c r="E39" s="9" t="n">
        <f aca="false">D39*$E$107</f>
        <v>49.6734626382</v>
      </c>
      <c r="F39" s="7"/>
      <c r="G39" s="9" t="n">
        <f aca="false">D39*$E$109</f>
        <v>19.8287778561</v>
      </c>
      <c r="H39" s="7"/>
      <c r="I39" s="9" t="n">
        <f aca="false">D39*$E$108</f>
        <v>29.7699771753</v>
      </c>
      <c r="J39" s="7"/>
      <c r="K39" s="8"/>
      <c r="L39" s="8"/>
      <c r="M39" s="8"/>
      <c r="N39" s="8"/>
      <c r="O39" s="8"/>
      <c r="P39" s="8"/>
      <c r="Q39" s="8"/>
      <c r="R39" s="8"/>
    </row>
    <row r="40" customFormat="false" ht="12.8" hidden="false" customHeight="false" outlineLevel="0" collapsed="false">
      <c r="B40" s="5"/>
      <c r="C40" s="11" t="s">
        <v>20</v>
      </c>
      <c r="D40" s="11" t="n">
        <v>0.841954</v>
      </c>
      <c r="E40" s="11" t="n">
        <f aca="false">D40*$E$107</f>
        <v>62.4758494436</v>
      </c>
      <c r="F40" s="7"/>
      <c r="G40" s="11" t="n">
        <f aca="false">D40*$E$109</f>
        <v>24.9392668478</v>
      </c>
      <c r="H40" s="7"/>
      <c r="I40" s="11" t="n">
        <f aca="false">D40*$E$108</f>
        <v>37.4426205294</v>
      </c>
      <c r="J40" s="7"/>
      <c r="K40" s="8"/>
      <c r="L40" s="8"/>
      <c r="M40" s="8"/>
      <c r="N40" s="8"/>
      <c r="O40" s="8"/>
      <c r="P40" s="8"/>
      <c r="Q40" s="8"/>
      <c r="R40" s="8"/>
    </row>
    <row r="41" customFormat="false" ht="12.8" hidden="false" customHeight="false" outlineLevel="0" collapsed="false">
      <c r="B41" s="5" t="n">
        <v>13</v>
      </c>
      <c r="C41" s="6" t="s">
        <v>18</v>
      </c>
      <c r="D41" s="6" t="n">
        <v>0.897861</v>
      </c>
      <c r="E41" s="6" t="n">
        <f aca="false">D41*$E$107</f>
        <v>66.6243389274</v>
      </c>
      <c r="F41" s="7" t="n">
        <f aca="false">AVERAGE(E41:E43)</f>
        <v>59.4763006709333</v>
      </c>
      <c r="G41" s="6" t="n">
        <f aca="false">D41*$E$109</f>
        <v>26.5952713227</v>
      </c>
      <c r="H41" s="7" t="n">
        <f aca="false">AVERAGE(G41:G43)</f>
        <v>23.7418994181333</v>
      </c>
      <c r="I41" s="6" t="n">
        <f aca="false">D41*$E$108</f>
        <v>39.9288663171</v>
      </c>
      <c r="J41" s="7" t="n">
        <f aca="false">AVERAGE(I41:I43)</f>
        <v>35.6449504304</v>
      </c>
      <c r="K41" s="8"/>
      <c r="L41" s="8"/>
      <c r="M41" s="8"/>
      <c r="N41" s="8"/>
      <c r="O41" s="8"/>
      <c r="P41" s="8"/>
      <c r="Q41" s="8"/>
      <c r="R41" s="8"/>
    </row>
    <row r="42" customFormat="false" ht="12.8" hidden="false" customHeight="false" outlineLevel="0" collapsed="false">
      <c r="B42" s="5"/>
      <c r="C42" s="9" t="s">
        <v>19</v>
      </c>
      <c r="D42" s="9" t="n">
        <v>0.715177</v>
      </c>
      <c r="E42" s="9" t="n">
        <f aca="false">D42*$E$107</f>
        <v>53.0685650018</v>
      </c>
      <c r="F42" s="7"/>
      <c r="G42" s="9" t="n">
        <f aca="false">D42*$E$109</f>
        <v>21.1840433639</v>
      </c>
      <c r="H42" s="7"/>
      <c r="I42" s="9" t="n">
        <f aca="false">D42*$E$108</f>
        <v>31.8047078847</v>
      </c>
      <c r="J42" s="7"/>
      <c r="K42" s="8"/>
      <c r="L42" s="8"/>
      <c r="M42" s="8"/>
      <c r="N42" s="8"/>
      <c r="O42" s="8"/>
      <c r="P42" s="8"/>
      <c r="Q42" s="8"/>
      <c r="R42" s="8"/>
    </row>
    <row r="43" customFormat="false" ht="12.8" hidden="false" customHeight="false" outlineLevel="0" collapsed="false">
      <c r="B43" s="5"/>
      <c r="C43" s="11" t="s">
        <v>20</v>
      </c>
      <c r="D43" s="11" t="n">
        <v>0.791554</v>
      </c>
      <c r="E43" s="11" t="n">
        <f aca="false">D43*$E$107</f>
        <v>58.7359980836</v>
      </c>
      <c r="F43" s="7"/>
      <c r="G43" s="11" t="n">
        <f aca="false">D43*$E$109</f>
        <v>23.4463835678</v>
      </c>
      <c r="H43" s="7"/>
      <c r="I43" s="11" t="n">
        <f aca="false">D43*$E$108</f>
        <v>35.2012770894</v>
      </c>
      <c r="J43" s="7"/>
      <c r="K43" s="8"/>
      <c r="L43" s="8"/>
      <c r="M43" s="8"/>
      <c r="N43" s="8"/>
      <c r="O43" s="8"/>
      <c r="P43" s="8"/>
      <c r="Q43" s="8"/>
      <c r="R43" s="8"/>
    </row>
    <row r="44" customFormat="false" ht="12.8" hidden="false" customHeight="false" outlineLevel="0" collapsed="false">
      <c r="B44" s="5" t="n">
        <v>14</v>
      </c>
      <c r="C44" s="6" t="s">
        <v>18</v>
      </c>
      <c r="D44" s="6" t="n">
        <v>0.804071</v>
      </c>
      <c r="E44" s="6" t="n">
        <f aca="false">D44*$E$107</f>
        <v>59.6648020414</v>
      </c>
      <c r="F44" s="7" t="n">
        <f aca="false">AVERAGE(E44:E46)</f>
        <v>55.626949827</v>
      </c>
      <c r="G44" s="6" t="n">
        <f aca="false">D44*$E$109</f>
        <v>23.8171458697</v>
      </c>
      <c r="H44" s="7" t="n">
        <f aca="false">AVERAGE(G44:G46)</f>
        <v>22.2053058585</v>
      </c>
      <c r="I44" s="6" t="n">
        <f aca="false">D44*$E$108</f>
        <v>35.7579218481</v>
      </c>
      <c r="J44" s="7" t="n">
        <f aca="false">AVERAGE(I44:I46)</f>
        <v>33.3379824705</v>
      </c>
      <c r="K44" s="8"/>
      <c r="L44" s="8"/>
      <c r="M44" s="8"/>
      <c r="N44" s="8"/>
      <c r="O44" s="8"/>
      <c r="P44" s="8"/>
      <c r="Q44" s="8"/>
      <c r="R44" s="8"/>
    </row>
    <row r="45" customFormat="false" ht="12.8" hidden="false" customHeight="false" outlineLevel="0" collapsed="false">
      <c r="B45" s="5"/>
      <c r="C45" s="9" t="s">
        <v>19</v>
      </c>
      <c r="D45" s="9" t="n">
        <v>0.673474</v>
      </c>
      <c r="E45" s="9" t="n">
        <f aca="false">D45*$E$107</f>
        <v>49.9740606116</v>
      </c>
      <c r="F45" s="7"/>
      <c r="G45" s="9" t="n">
        <f aca="false">D45*$E$109</f>
        <v>19.9487713118</v>
      </c>
      <c r="H45" s="7"/>
      <c r="I45" s="9" t="n">
        <f aca="false">D45*$E$108</f>
        <v>29.9501296014</v>
      </c>
      <c r="J45" s="7"/>
      <c r="K45" s="8"/>
      <c r="L45" s="8"/>
      <c r="M45" s="8"/>
      <c r="N45" s="8"/>
      <c r="O45" s="8"/>
      <c r="P45" s="8"/>
      <c r="Q45" s="8"/>
      <c r="R45" s="8"/>
    </row>
    <row r="46" customFormat="false" ht="12.8" hidden="false" customHeight="false" outlineLevel="0" collapsed="false">
      <c r="B46" s="5"/>
      <c r="C46" s="11" t="s">
        <v>20</v>
      </c>
      <c r="D46" s="11" t="n">
        <v>0.77142</v>
      </c>
      <c r="E46" s="11" t="n">
        <f aca="false">D46*$E$107</f>
        <v>57.241986828</v>
      </c>
      <c r="F46" s="7"/>
      <c r="G46" s="11" t="n">
        <f aca="false">D46*$E$109</f>
        <v>22.850000394</v>
      </c>
      <c r="H46" s="7"/>
      <c r="I46" s="11" t="n">
        <f aca="false">D46*$E$108</f>
        <v>34.305895962</v>
      </c>
      <c r="J46" s="7"/>
      <c r="K46" s="8"/>
      <c r="L46" s="8"/>
      <c r="M46" s="8"/>
      <c r="N46" s="8"/>
      <c r="O46" s="8"/>
      <c r="P46" s="8"/>
      <c r="Q46" s="8"/>
      <c r="R46" s="8"/>
    </row>
    <row r="47" customFormat="false" ht="12.8" hidden="false" customHeight="false" outlineLevel="0" collapsed="false">
      <c r="B47" s="5" t="n">
        <v>15</v>
      </c>
      <c r="C47" s="6" t="s">
        <v>18</v>
      </c>
      <c r="D47" s="6" t="n">
        <v>0.780993</v>
      </c>
      <c r="E47" s="6" t="n">
        <f aca="false">D47*$E$107</f>
        <v>57.9523359762</v>
      </c>
      <c r="F47" s="7" t="n">
        <f aca="false">AVERAGE(E47:E49)</f>
        <v>54.6958702982667</v>
      </c>
      <c r="G47" s="6" t="n">
        <f aca="false">D47*$E$109</f>
        <v>23.1335593551</v>
      </c>
      <c r="H47" s="7" t="n">
        <f aca="false">AVERAGE(G47:G49)</f>
        <v>21.8336351884667</v>
      </c>
      <c r="I47" s="6" t="n">
        <f aca="false">D47*$E$108</f>
        <v>34.7316178023</v>
      </c>
      <c r="J47" s="7" t="n">
        <f aca="false">AVERAGE(I47:I49)</f>
        <v>32.7799739314</v>
      </c>
      <c r="K47" s="8"/>
      <c r="L47" s="8"/>
      <c r="M47" s="8"/>
      <c r="N47" s="8"/>
      <c r="O47" s="8"/>
      <c r="P47" s="8"/>
      <c r="Q47" s="8"/>
      <c r="R47" s="8"/>
    </row>
    <row r="48" customFormat="false" ht="12.8" hidden="false" customHeight="false" outlineLevel="0" collapsed="false">
      <c r="B48" s="5"/>
      <c r="C48" s="9" t="s">
        <v>19</v>
      </c>
      <c r="D48" s="9" t="n">
        <v>0.708759</v>
      </c>
      <c r="E48" s="9" t="n">
        <f aca="false">D48*$E$107</f>
        <v>52.5923275806</v>
      </c>
      <c r="F48" s="7"/>
      <c r="G48" s="9" t="n">
        <f aca="false">D48*$E$109</f>
        <v>20.9939377113</v>
      </c>
      <c r="H48" s="7"/>
      <c r="I48" s="9" t="n">
        <f aca="false">D48*$E$108</f>
        <v>31.5192923649</v>
      </c>
      <c r="J48" s="7"/>
      <c r="K48" s="8"/>
      <c r="L48" s="8"/>
      <c r="M48" s="8"/>
      <c r="N48" s="8"/>
      <c r="O48" s="8"/>
      <c r="P48" s="8"/>
      <c r="Q48" s="8"/>
      <c r="R48" s="8"/>
    </row>
    <row r="49" customFormat="false" ht="12.8" hidden="false" customHeight="false" outlineLevel="0" collapsed="false">
      <c r="B49" s="5"/>
      <c r="C49" s="11" t="s">
        <v>20</v>
      </c>
      <c r="D49" s="11" t="n">
        <v>0.72157</v>
      </c>
      <c r="E49" s="11" t="n">
        <f aca="false">D49*$E$107</f>
        <v>53.542947338</v>
      </c>
      <c r="F49" s="7"/>
      <c r="G49" s="11" t="n">
        <f aca="false">D49*$E$109</f>
        <v>21.373408499</v>
      </c>
      <c r="H49" s="7"/>
      <c r="I49" s="11" t="n">
        <f aca="false">D49*$E$108</f>
        <v>32.089011627</v>
      </c>
      <c r="J49" s="7"/>
      <c r="K49" s="8"/>
      <c r="L49" s="8"/>
      <c r="M49" s="8"/>
      <c r="N49" s="8"/>
      <c r="O49" s="8"/>
      <c r="P49" s="8"/>
      <c r="Q49" s="8"/>
      <c r="R49" s="8"/>
    </row>
    <row r="50" customFormat="false" ht="12.8" hidden="false" customHeight="false" outlineLevel="0" collapsed="false">
      <c r="B50" s="5" t="n">
        <v>16</v>
      </c>
      <c r="C50" s="6" t="s">
        <v>18</v>
      </c>
      <c r="D50" s="6" t="n">
        <v>0.809962</v>
      </c>
      <c r="E50" s="6" t="n">
        <f aca="false">D50*$E$107</f>
        <v>60.1019342708</v>
      </c>
      <c r="F50" s="7" t="n">
        <f aca="false">AVERAGE(E50:E52)</f>
        <v>57.6273745531333</v>
      </c>
      <c r="G50" s="6" t="n">
        <f aca="false">D50*$E$109</f>
        <v>23.9916414134</v>
      </c>
      <c r="H50" s="7" t="n">
        <f aca="false">AVERAGE(G50:G52)</f>
        <v>23.0038404362333</v>
      </c>
      <c r="I50" s="6" t="n">
        <f aca="false">D50*$E$108</f>
        <v>36.0199010982</v>
      </c>
      <c r="J50" s="7" t="n">
        <f aca="false">AVERAGE(I50:I52)</f>
        <v>34.5368640317</v>
      </c>
      <c r="K50" s="8"/>
      <c r="L50" s="8"/>
      <c r="M50" s="8"/>
      <c r="N50" s="8"/>
      <c r="O50" s="8"/>
      <c r="P50" s="8"/>
      <c r="Q50" s="8"/>
      <c r="R50" s="8"/>
    </row>
    <row r="51" customFormat="false" ht="12.8" hidden="false" customHeight="false" outlineLevel="0" collapsed="false">
      <c r="B51" s="5"/>
      <c r="C51" s="9" t="s">
        <v>19</v>
      </c>
      <c r="D51" s="9" t="n">
        <v>0.711829</v>
      </c>
      <c r="E51" s="9" t="n">
        <f aca="false">D51*$E$107</f>
        <v>52.8201320186</v>
      </c>
      <c r="F51" s="7"/>
      <c r="G51" s="9" t="n">
        <f aca="false">D51*$E$109</f>
        <v>21.0848732603</v>
      </c>
      <c r="H51" s="7"/>
      <c r="I51" s="9" t="n">
        <f aca="false">D51*$E$108</f>
        <v>31.6558186419</v>
      </c>
      <c r="J51" s="7"/>
      <c r="K51" s="8"/>
      <c r="L51" s="8"/>
      <c r="M51" s="8"/>
      <c r="N51" s="8"/>
      <c r="O51" s="8"/>
      <c r="P51" s="8"/>
      <c r="Q51" s="8"/>
      <c r="R51" s="8"/>
    </row>
    <row r="52" customFormat="false" ht="12.8" hidden="false" customHeight="false" outlineLevel="0" collapsed="false">
      <c r="B52" s="5"/>
      <c r="C52" s="11" t="s">
        <v>20</v>
      </c>
      <c r="D52" s="11" t="n">
        <v>0.80805</v>
      </c>
      <c r="E52" s="11" t="n">
        <f aca="false">D52*$E$107</f>
        <v>59.96005737</v>
      </c>
      <c r="F52" s="7"/>
      <c r="G52" s="11" t="n">
        <f aca="false">D52*$E$109</f>
        <v>23.935006635</v>
      </c>
      <c r="H52" s="7"/>
      <c r="I52" s="11" t="n">
        <f aca="false">D52*$E$108</f>
        <v>35.934872355</v>
      </c>
      <c r="J52" s="7"/>
      <c r="K52" s="8"/>
      <c r="L52" s="8"/>
      <c r="M52" s="8"/>
      <c r="N52" s="8"/>
      <c r="O52" s="8"/>
      <c r="P52" s="8"/>
      <c r="Q52" s="8"/>
      <c r="R52" s="8"/>
    </row>
    <row r="53" customFormat="false" ht="12.8" hidden="false" customHeight="false" outlineLevel="0" collapsed="false">
      <c r="B53" s="5" t="n">
        <v>17</v>
      </c>
      <c r="C53" s="12" t="s">
        <v>21</v>
      </c>
      <c r="D53" s="12"/>
      <c r="E53" s="12" t="n">
        <f aca="false">D53*$E$107</f>
        <v>0</v>
      </c>
      <c r="F53" s="12"/>
      <c r="G53" s="12" t="n">
        <f aca="false">D53*$E$109</f>
        <v>0</v>
      </c>
      <c r="H53" s="12" t="n">
        <f aca="false">AVERAGE(G53:G55)</f>
        <v>0</v>
      </c>
      <c r="I53" s="12" t="n">
        <f aca="false">D53*$E$108</f>
        <v>0</v>
      </c>
      <c r="J53" s="12"/>
      <c r="K53" s="8"/>
      <c r="L53" s="8"/>
      <c r="M53" s="8"/>
      <c r="N53" s="8"/>
      <c r="O53" s="8"/>
      <c r="P53" s="8"/>
      <c r="Q53" s="8"/>
      <c r="R53" s="8"/>
    </row>
    <row r="54" customFormat="false" ht="12.8" hidden="false" customHeight="false" outlineLevel="0" collapsed="false">
      <c r="B54" s="5"/>
      <c r="C54" s="12"/>
      <c r="D54" s="12"/>
      <c r="E54" s="12" t="n">
        <f aca="false">D54*$E$107</f>
        <v>0</v>
      </c>
      <c r="F54" s="12"/>
      <c r="G54" s="12" t="n">
        <f aca="false">D54*$E$109</f>
        <v>0</v>
      </c>
      <c r="H54" s="12"/>
      <c r="I54" s="12" t="n">
        <f aca="false">D54*$E$108</f>
        <v>0</v>
      </c>
      <c r="J54" s="12"/>
      <c r="K54" s="8"/>
      <c r="L54" s="8"/>
      <c r="M54" s="8"/>
      <c r="N54" s="8"/>
      <c r="O54" s="8"/>
      <c r="P54" s="8"/>
      <c r="Q54" s="8"/>
      <c r="R54" s="8"/>
    </row>
    <row r="55" customFormat="false" ht="12.8" hidden="false" customHeight="false" outlineLevel="0" collapsed="false">
      <c r="B55" s="5"/>
      <c r="C55" s="12"/>
      <c r="D55" s="12"/>
      <c r="E55" s="12" t="n">
        <f aca="false">D55*$E$107</f>
        <v>0</v>
      </c>
      <c r="F55" s="12"/>
      <c r="G55" s="12" t="n">
        <f aca="false">D55*$E$109</f>
        <v>0</v>
      </c>
      <c r="H55" s="12"/>
      <c r="I55" s="12" t="n">
        <f aca="false">D55*$E$108</f>
        <v>0</v>
      </c>
      <c r="J55" s="12"/>
      <c r="K55" s="8"/>
      <c r="L55" s="8"/>
      <c r="M55" s="8"/>
      <c r="N55" s="8"/>
      <c r="O55" s="8"/>
      <c r="P55" s="8"/>
      <c r="Q55" s="8"/>
      <c r="R55" s="8"/>
    </row>
    <row r="56" customFormat="false" ht="12.8" hidden="false" customHeight="false" outlineLevel="0" collapsed="false">
      <c r="B56" s="5" t="n">
        <v>18</v>
      </c>
      <c r="C56" s="6" t="s">
        <v>18</v>
      </c>
      <c r="D56" s="6" t="n">
        <v>0.766445</v>
      </c>
      <c r="E56" s="6" t="n">
        <f aca="false">D56*$E$107</f>
        <v>56.872824913</v>
      </c>
      <c r="F56" s="7" t="n">
        <f aca="false">AVERAGE(E56:E58)</f>
        <v>53.0649785041333</v>
      </c>
      <c r="G56" s="6" t="n">
        <f aca="false">D56*$E$109</f>
        <v>22.7026374115</v>
      </c>
      <c r="H56" s="7" t="n">
        <f aca="false">AVERAGE(G56:G58)</f>
        <v>21.1826116967333</v>
      </c>
      <c r="I56" s="6" t="n">
        <f aca="false">D56*$E$108</f>
        <v>34.0846522395</v>
      </c>
      <c r="J56" s="7" t="n">
        <f aca="false">AVERAGE(I56:I58)</f>
        <v>31.8025584482</v>
      </c>
      <c r="K56" s="8"/>
      <c r="L56" s="8"/>
      <c r="M56" s="8"/>
      <c r="N56" s="8"/>
      <c r="O56" s="8"/>
      <c r="P56" s="8"/>
      <c r="Q56" s="8"/>
      <c r="R56" s="8"/>
    </row>
    <row r="57" customFormat="false" ht="12.8" hidden="false" customHeight="false" outlineLevel="0" collapsed="false">
      <c r="B57" s="5"/>
      <c r="C57" s="9" t="s">
        <v>19</v>
      </c>
      <c r="D57" s="9" t="n">
        <v>0.584167</v>
      </c>
      <c r="E57" s="9" t="n">
        <f aca="false">D57*$E$107</f>
        <v>43.3471775678</v>
      </c>
      <c r="F57" s="7"/>
      <c r="G57" s="9" t="n">
        <f aca="false">D57*$E$109</f>
        <v>17.3034354569</v>
      </c>
      <c r="H57" s="7"/>
      <c r="I57" s="9" t="n">
        <f aca="false">D57*$E$108</f>
        <v>25.9785490737</v>
      </c>
      <c r="J57" s="7"/>
      <c r="K57" s="8"/>
      <c r="L57" s="8"/>
      <c r="M57" s="8"/>
      <c r="N57" s="8"/>
      <c r="O57" s="8"/>
      <c r="P57" s="8"/>
      <c r="Q57" s="8"/>
      <c r="R57" s="8"/>
    </row>
    <row r="58" customFormat="false" ht="12.8" hidden="false" customHeight="false" outlineLevel="0" collapsed="false">
      <c r="B58" s="5"/>
      <c r="C58" s="11" t="s">
        <v>20</v>
      </c>
      <c r="D58" s="11" t="n">
        <v>0.794774</v>
      </c>
      <c r="E58" s="11" t="n">
        <f aca="false">D58*$E$107</f>
        <v>58.9749330316</v>
      </c>
      <c r="F58" s="7"/>
      <c r="G58" s="11" t="n">
        <f aca="false">D58*$E$109</f>
        <v>23.5417622218</v>
      </c>
      <c r="H58" s="7"/>
      <c r="I58" s="11" t="n">
        <f aca="false">D58*$E$108</f>
        <v>35.3444740314</v>
      </c>
      <c r="J58" s="7"/>
      <c r="K58" s="8"/>
      <c r="L58" s="8"/>
      <c r="M58" s="8"/>
      <c r="N58" s="8"/>
      <c r="O58" s="8"/>
      <c r="P58" s="8"/>
      <c r="Q58" s="8"/>
      <c r="R58" s="8"/>
    </row>
    <row r="59" customFormat="false" ht="12.8" hidden="false" customHeight="false" outlineLevel="0" collapsed="false">
      <c r="B59" s="5" t="n">
        <v>19</v>
      </c>
      <c r="C59" s="12" t="s">
        <v>21</v>
      </c>
      <c r="D59" s="12"/>
      <c r="E59" s="12" t="n">
        <f aca="false">D59*$E$107</f>
        <v>0</v>
      </c>
      <c r="F59" s="12"/>
      <c r="G59" s="12" t="n">
        <f aca="false">D59*$E$109</f>
        <v>0</v>
      </c>
      <c r="H59" s="12" t="n">
        <f aca="false">AVERAGE(G59:G61)</f>
        <v>0</v>
      </c>
      <c r="I59" s="12" t="n">
        <f aca="false">D59*$E$108</f>
        <v>0</v>
      </c>
      <c r="J59" s="12"/>
      <c r="K59" s="8"/>
      <c r="L59" s="8"/>
      <c r="M59" s="8"/>
      <c r="N59" s="8"/>
      <c r="O59" s="8"/>
      <c r="P59" s="8"/>
      <c r="Q59" s="8"/>
      <c r="R59" s="8"/>
    </row>
    <row r="60" customFormat="false" ht="12.8" hidden="false" customHeight="false" outlineLevel="0" collapsed="false">
      <c r="B60" s="5"/>
      <c r="C60" s="12"/>
      <c r="D60" s="12"/>
      <c r="E60" s="12" t="n">
        <f aca="false">D60*$E$107</f>
        <v>0</v>
      </c>
      <c r="F60" s="12"/>
      <c r="G60" s="12" t="n">
        <f aca="false">D60*$E$109</f>
        <v>0</v>
      </c>
      <c r="H60" s="12"/>
      <c r="I60" s="12" t="n">
        <f aca="false">D60*$E$108</f>
        <v>0</v>
      </c>
      <c r="J60" s="12"/>
      <c r="K60" s="8"/>
      <c r="L60" s="8"/>
      <c r="M60" s="8"/>
      <c r="N60" s="8"/>
      <c r="O60" s="8"/>
      <c r="P60" s="8"/>
      <c r="Q60" s="8"/>
      <c r="R60" s="8"/>
    </row>
    <row r="61" customFormat="false" ht="12.8" hidden="false" customHeight="false" outlineLevel="0" collapsed="false">
      <c r="B61" s="5"/>
      <c r="C61" s="12"/>
      <c r="D61" s="12"/>
      <c r="E61" s="12" t="n">
        <f aca="false">D61*$E$107</f>
        <v>0</v>
      </c>
      <c r="F61" s="12"/>
      <c r="G61" s="12" t="n">
        <f aca="false">D61*$E$109</f>
        <v>0</v>
      </c>
      <c r="H61" s="12"/>
      <c r="I61" s="12" t="n">
        <f aca="false">D61*$E$108</f>
        <v>0</v>
      </c>
      <c r="J61" s="12"/>
      <c r="K61" s="8"/>
      <c r="L61" s="8"/>
      <c r="M61" s="8"/>
      <c r="N61" s="8"/>
      <c r="O61" s="8"/>
      <c r="P61" s="8"/>
      <c r="Q61" s="8"/>
      <c r="R61" s="8"/>
    </row>
    <row r="62" customFormat="false" ht="12.8" hidden="false" customHeight="false" outlineLevel="0" collapsed="false">
      <c r="B62" s="5" t="n">
        <v>20</v>
      </c>
      <c r="C62" s="6" t="s">
        <v>18</v>
      </c>
      <c r="D62" s="6" t="n">
        <v>0.750977</v>
      </c>
      <c r="E62" s="6" t="n">
        <f aca="false">D62*$E$107</f>
        <v>55.7250467218</v>
      </c>
      <c r="F62" s="7" t="n">
        <f aca="false">AVERAGE(E62:E64)</f>
        <v>51.2074447919333</v>
      </c>
      <c r="G62" s="6" t="n">
        <f aca="false">D62*$E$109</f>
        <v>22.2444644239</v>
      </c>
      <c r="H62" s="7" t="n">
        <f aca="false">AVERAGE(G62:G64)</f>
        <v>20.4411167136333</v>
      </c>
      <c r="I62" s="6" t="n">
        <f aca="false">D62*$E$108</f>
        <v>33.3967732647</v>
      </c>
      <c r="J62" s="7" t="n">
        <f aca="false">AVERAGE(I62:I64)</f>
        <v>30.6893134019</v>
      </c>
      <c r="K62" s="8"/>
      <c r="L62" s="8"/>
      <c r="M62" s="8"/>
      <c r="N62" s="8"/>
      <c r="O62" s="8"/>
      <c r="P62" s="8"/>
      <c r="Q62" s="8"/>
      <c r="R62" s="8"/>
    </row>
    <row r="63" customFormat="false" ht="12.8" hidden="false" customHeight="false" outlineLevel="0" collapsed="false">
      <c r="B63" s="5"/>
      <c r="C63" s="9" t="s">
        <v>19</v>
      </c>
      <c r="D63" s="9" t="n">
        <v>0.582425</v>
      </c>
      <c r="E63" s="9" t="n">
        <f aca="false">D63*$E$107</f>
        <v>43.217915245</v>
      </c>
      <c r="F63" s="7"/>
      <c r="G63" s="9" t="n">
        <f aca="false">D63*$E$109</f>
        <v>17.2518361975</v>
      </c>
      <c r="H63" s="7"/>
      <c r="I63" s="9" t="n">
        <f aca="false">D63*$E$108</f>
        <v>25.9010804175</v>
      </c>
      <c r="J63" s="7"/>
      <c r="K63" s="8"/>
      <c r="L63" s="8"/>
      <c r="M63" s="8"/>
      <c r="N63" s="8"/>
      <c r="O63" s="8"/>
      <c r="P63" s="8"/>
      <c r="Q63" s="8"/>
      <c r="R63" s="8"/>
    </row>
    <row r="64" customFormat="false" ht="12.8" hidden="false" customHeight="false" outlineLevel="0" collapsed="false">
      <c r="B64" s="5"/>
      <c r="C64" s="11" t="s">
        <v>20</v>
      </c>
      <c r="D64" s="11" t="n">
        <v>0.736885</v>
      </c>
      <c r="E64" s="11" t="n">
        <f aca="false">D64*$E$107</f>
        <v>54.679372409</v>
      </c>
      <c r="F64" s="7"/>
      <c r="G64" s="11" t="n">
        <f aca="false">D64*$E$109</f>
        <v>21.8270495195</v>
      </c>
      <c r="H64" s="7"/>
      <c r="I64" s="11" t="n">
        <f aca="false">D64*$E$108</f>
        <v>32.7700865235</v>
      </c>
      <c r="J64" s="7"/>
      <c r="K64" s="8"/>
      <c r="L64" s="8"/>
      <c r="M64" s="8"/>
      <c r="N64" s="8"/>
      <c r="O64" s="8"/>
      <c r="P64" s="8"/>
      <c r="Q64" s="8"/>
      <c r="R64" s="8"/>
    </row>
    <row r="65" customFormat="false" ht="12.8" hidden="false" customHeight="false" outlineLevel="0" collapsed="false">
      <c r="B65" s="5" t="n">
        <v>21</v>
      </c>
      <c r="C65" s="6" t="s">
        <v>18</v>
      </c>
      <c r="D65" s="6" t="n">
        <v>0.697747</v>
      </c>
      <c r="E65" s="6" t="n">
        <f aca="false">D65*$E$107</f>
        <v>51.7751997398</v>
      </c>
      <c r="F65" s="7" t="n">
        <f aca="false">AVERAGE(E65:E67)</f>
        <v>50.8157745122667</v>
      </c>
      <c r="G65" s="6" t="n">
        <f aca="false">D65*$E$109</f>
        <v>20.6677545629</v>
      </c>
      <c r="H65" s="7" t="n">
        <f aca="false">AVERAGE(G65:G67)</f>
        <v>20.2847687854667</v>
      </c>
      <c r="I65" s="6" t="n">
        <f aca="false">D65*$E$108</f>
        <v>31.0295766117</v>
      </c>
      <c r="J65" s="7" t="n">
        <f aca="false">AVERAGE(I65:I67)</f>
        <v>30.4545801124</v>
      </c>
      <c r="K65" s="8"/>
      <c r="L65" s="8"/>
      <c r="M65" s="8"/>
      <c r="N65" s="8"/>
      <c r="O65" s="8"/>
      <c r="P65" s="8"/>
      <c r="Q65" s="8"/>
      <c r="R65" s="8"/>
    </row>
    <row r="66" customFormat="false" ht="12.8" hidden="false" customHeight="false" outlineLevel="0" collapsed="false">
      <c r="B66" s="5"/>
      <c r="C66" s="9" t="s">
        <v>19</v>
      </c>
      <c r="D66" s="9" t="n">
        <v>0.517567</v>
      </c>
      <c r="E66" s="9" t="n">
        <f aca="false">D66*$E$107</f>
        <v>38.4052311278</v>
      </c>
      <c r="F66" s="7"/>
      <c r="G66" s="9" t="n">
        <f aca="false">D66*$E$109</f>
        <v>15.3306968369</v>
      </c>
      <c r="H66" s="7"/>
      <c r="I66" s="9" t="n">
        <f aca="false">D66*$E$108</f>
        <v>23.0167738137</v>
      </c>
      <c r="J66" s="7"/>
      <c r="K66" s="8"/>
      <c r="L66" s="8"/>
      <c r="M66" s="8"/>
      <c r="N66" s="8"/>
      <c r="O66" s="8"/>
      <c r="P66" s="8"/>
      <c r="Q66" s="8"/>
      <c r="R66" s="8"/>
    </row>
    <row r="67" customFormat="false" ht="12.8" hidden="false" customHeight="false" outlineLevel="0" collapsed="false">
      <c r="B67" s="5"/>
      <c r="C67" s="11" t="s">
        <v>20</v>
      </c>
      <c r="D67" s="11" t="n">
        <v>0.839138</v>
      </c>
      <c r="E67" s="11" t="n">
        <f aca="false">D67*$E$107</f>
        <v>62.2668926692</v>
      </c>
      <c r="F67" s="7"/>
      <c r="G67" s="11" t="n">
        <f aca="false">D67*$E$109</f>
        <v>24.8558549566</v>
      </c>
      <c r="H67" s="7"/>
      <c r="I67" s="11" t="n">
        <f aca="false">D67*$E$108</f>
        <v>37.3173899118</v>
      </c>
      <c r="J67" s="7"/>
      <c r="K67" s="8"/>
      <c r="L67" s="8"/>
      <c r="M67" s="8"/>
      <c r="N67" s="8"/>
      <c r="O67" s="8"/>
      <c r="P67" s="8"/>
      <c r="Q67" s="8"/>
      <c r="R67" s="8"/>
    </row>
    <row r="68" customFormat="false" ht="12.8" hidden="false" customHeight="false" outlineLevel="0" collapsed="false">
      <c r="B68" s="5" t="n">
        <v>22</v>
      </c>
      <c r="C68" s="6" t="s">
        <v>18</v>
      </c>
      <c r="D68" s="6" t="n">
        <v>0.749535</v>
      </c>
      <c r="E68" s="6" t="n">
        <f aca="false">D68*$E$107</f>
        <v>55.618045419</v>
      </c>
      <c r="F68" s="7" t="n">
        <f aca="false">AVERAGE(E68:E70)</f>
        <v>50.633432024</v>
      </c>
      <c r="G68" s="6" t="n">
        <f aca="false">D68*$E$109</f>
        <v>22.2017513745</v>
      </c>
      <c r="H68" s="7" t="n">
        <f aca="false">AVERAGE(G68:G70)</f>
        <v>20.211980852</v>
      </c>
      <c r="I68" s="6" t="n">
        <f aca="false">D68*$E$108</f>
        <v>33.3326459385</v>
      </c>
      <c r="J68" s="7" t="n">
        <f aca="false">AVERAGE(I68:I70)</f>
        <v>30.345299796</v>
      </c>
      <c r="K68" s="8"/>
      <c r="L68" s="8"/>
      <c r="M68" s="8"/>
      <c r="N68" s="8"/>
      <c r="O68" s="8"/>
      <c r="P68" s="8"/>
      <c r="Q68" s="8"/>
      <c r="R68" s="8"/>
    </row>
    <row r="69" customFormat="false" ht="12.8" hidden="false" customHeight="false" outlineLevel="0" collapsed="false">
      <c r="B69" s="5"/>
      <c r="C69" s="9" t="s">
        <v>19</v>
      </c>
      <c r="D69" s="9" t="n">
        <v>0.599663</v>
      </c>
      <c r="E69" s="9" t="n">
        <f aca="false">D69*$E$107</f>
        <v>44.4970334542</v>
      </c>
      <c r="F69" s="7"/>
      <c r="G69" s="9" t="n">
        <f aca="false">D69*$E$109</f>
        <v>17.7624378241</v>
      </c>
      <c r="H69" s="7"/>
      <c r="I69" s="9" t="n">
        <f aca="false">D69*$E$108</f>
        <v>26.6676732393</v>
      </c>
      <c r="J69" s="7"/>
      <c r="K69" s="8"/>
      <c r="L69" s="8"/>
      <c r="M69" s="8"/>
      <c r="N69" s="8"/>
      <c r="O69" s="8"/>
      <c r="P69" s="8"/>
      <c r="Q69" s="8"/>
      <c r="R69" s="8"/>
    </row>
    <row r="70" customFormat="false" ht="12.8" hidden="false" customHeight="false" outlineLevel="0" collapsed="false">
      <c r="B70" s="5"/>
      <c r="C70" s="11" t="s">
        <v>20</v>
      </c>
      <c r="D70" s="11" t="n">
        <v>0.697882</v>
      </c>
      <c r="E70" s="11" t="n">
        <f aca="false">D70*$E$107</f>
        <v>51.7852171988</v>
      </c>
      <c r="F70" s="7"/>
      <c r="G70" s="11" t="n">
        <f aca="false">D70*$E$109</f>
        <v>20.6717533574</v>
      </c>
      <c r="H70" s="7"/>
      <c r="I70" s="11" t="n">
        <f aca="false">D70*$E$108</f>
        <v>31.0355802102</v>
      </c>
      <c r="J70" s="7"/>
      <c r="K70" s="8"/>
      <c r="L70" s="8"/>
      <c r="M70" s="8"/>
      <c r="N70" s="8"/>
      <c r="O70" s="8"/>
      <c r="P70" s="8"/>
      <c r="Q70" s="8"/>
      <c r="R70" s="8"/>
    </row>
    <row r="71" customFormat="false" ht="12.8" hidden="false" customHeight="false" outlineLevel="0" collapsed="false">
      <c r="B71" s="5" t="n">
        <v>23</v>
      </c>
      <c r="C71" s="6" t="s">
        <v>18</v>
      </c>
      <c r="D71" s="6" t="n">
        <v>0.755154</v>
      </c>
      <c r="E71" s="6" t="n">
        <f aca="false">D71*$E$107</f>
        <v>56.0349943236</v>
      </c>
      <c r="F71" s="7" t="n">
        <f aca="false">AVERAGE(E71:E73)</f>
        <v>43.1784390362</v>
      </c>
      <c r="G71" s="6" t="n">
        <f aca="false">D71*$E$109</f>
        <v>22.3681900878</v>
      </c>
      <c r="H71" s="7" t="n">
        <f aca="false">AVERAGE(G71:G73)</f>
        <v>17.2360779851</v>
      </c>
      <c r="I71" s="6" t="n">
        <f aca="false">D71*$E$108</f>
        <v>33.5825290494</v>
      </c>
      <c r="J71" s="7" t="n">
        <f aca="false">AVERAGE(I71:I73)</f>
        <v>25.8774217923</v>
      </c>
      <c r="K71" s="8"/>
      <c r="L71" s="8"/>
      <c r="M71" s="8"/>
      <c r="N71" s="8"/>
      <c r="O71" s="8"/>
      <c r="P71" s="8"/>
      <c r="Q71" s="8"/>
      <c r="R71" s="8"/>
    </row>
    <row r="72" customFormat="false" ht="12.8" hidden="false" customHeight="false" outlineLevel="0" collapsed="false">
      <c r="B72" s="5"/>
      <c r="C72" s="9" t="s">
        <v>19</v>
      </c>
      <c r="D72" s="9" t="n">
        <v>0.547812</v>
      </c>
      <c r="E72" s="9" t="n">
        <f aca="false">D72*$E$107</f>
        <v>40.6495129608</v>
      </c>
      <c r="F72" s="7"/>
      <c r="G72" s="9" t="n">
        <f aca="false">D72*$E$109</f>
        <v>16.2265749084</v>
      </c>
      <c r="H72" s="7"/>
      <c r="I72" s="9" t="n">
        <f aca="false">D72*$E$108</f>
        <v>24.3618022332</v>
      </c>
      <c r="J72" s="7"/>
      <c r="K72" s="8"/>
      <c r="L72" s="8"/>
      <c r="M72" s="8"/>
      <c r="N72" s="8"/>
      <c r="O72" s="8"/>
      <c r="P72" s="8"/>
      <c r="Q72" s="8"/>
      <c r="R72" s="8"/>
    </row>
    <row r="73" customFormat="false" ht="12.8" hidden="false" customHeight="false" outlineLevel="0" collapsed="false">
      <c r="B73" s="5"/>
      <c r="C73" s="11" t="s">
        <v>20</v>
      </c>
      <c r="D73" s="11" t="n">
        <v>0.442713</v>
      </c>
      <c r="E73" s="11" t="n">
        <f aca="false">D73*$E$107</f>
        <v>32.8508098242</v>
      </c>
      <c r="F73" s="7"/>
      <c r="G73" s="11" t="n">
        <f aca="false">D73*$E$109</f>
        <v>13.1134689591</v>
      </c>
      <c r="H73" s="7"/>
      <c r="I73" s="11" t="n">
        <f aca="false">D73*$E$108</f>
        <v>19.6879340943</v>
      </c>
      <c r="J73" s="7"/>
      <c r="K73" s="8"/>
      <c r="L73" s="8"/>
      <c r="M73" s="8"/>
      <c r="N73" s="8"/>
      <c r="O73" s="8"/>
      <c r="P73" s="8"/>
      <c r="Q73" s="8"/>
      <c r="R73" s="8"/>
    </row>
    <row r="74" customFormat="false" ht="12.8" hidden="false" customHeight="false" outlineLevel="0" collapsed="false">
      <c r="B74" s="5" t="n">
        <v>24</v>
      </c>
      <c r="C74" s="6" t="s">
        <v>18</v>
      </c>
      <c r="D74" s="6" t="n">
        <v>0.757666</v>
      </c>
      <c r="E74" s="6" t="n">
        <f aca="false">D74*$E$107</f>
        <v>56.2213932644</v>
      </c>
      <c r="F74" s="7" t="n">
        <f aca="false">AVERAGE(E74:E76)</f>
        <v>47.6064527278</v>
      </c>
      <c r="G74" s="6" t="n">
        <f aca="false">D74*$E$109</f>
        <v>22.4425972862</v>
      </c>
      <c r="H74" s="7" t="n">
        <f aca="false">AVERAGE(G74:G76)</f>
        <v>19.0036636369</v>
      </c>
      <c r="I74" s="6" t="n">
        <f aca="false">D74*$E$108</f>
        <v>33.6942404526</v>
      </c>
      <c r="J74" s="7" t="n">
        <f aca="false">AVERAGE(I74:I76)</f>
        <v>28.5311902137</v>
      </c>
      <c r="K74" s="8"/>
      <c r="L74" s="8"/>
      <c r="M74" s="8"/>
      <c r="N74" s="8"/>
      <c r="O74" s="8"/>
      <c r="P74" s="8"/>
      <c r="Q74" s="8"/>
      <c r="R74" s="8"/>
    </row>
    <row r="75" customFormat="false" ht="12.8" hidden="false" customHeight="false" outlineLevel="0" collapsed="false">
      <c r="B75" s="5"/>
      <c r="C75" s="9" t="s">
        <v>19</v>
      </c>
      <c r="D75" s="9" t="n">
        <v>0.462579</v>
      </c>
      <c r="E75" s="9" t="n">
        <f aca="false">D75*$E$107</f>
        <v>34.3249345686</v>
      </c>
      <c r="F75" s="7"/>
      <c r="G75" s="9" t="n">
        <f aca="false">D75*$E$109</f>
        <v>13.7019137853</v>
      </c>
      <c r="H75" s="7"/>
      <c r="I75" s="9" t="n">
        <f aca="false">D75*$E$108</f>
        <v>20.5713969669</v>
      </c>
      <c r="J75" s="7"/>
      <c r="K75" s="8"/>
      <c r="L75" s="8"/>
      <c r="M75" s="8"/>
      <c r="N75" s="8"/>
      <c r="O75" s="8"/>
      <c r="P75" s="8"/>
      <c r="Q75" s="8"/>
      <c r="R75" s="8"/>
    </row>
    <row r="76" customFormat="false" ht="12.8" hidden="false" customHeight="false" outlineLevel="0" collapsed="false">
      <c r="B76" s="5"/>
      <c r="C76" s="11" t="s">
        <v>20</v>
      </c>
      <c r="D76" s="11" t="n">
        <v>0.704456</v>
      </c>
      <c r="E76" s="11" t="n">
        <f aca="false">D76*$E$107</f>
        <v>52.2730303504</v>
      </c>
      <c r="F76" s="7"/>
      <c r="G76" s="11" t="n">
        <f aca="false">D76*$E$109</f>
        <v>20.8664798392</v>
      </c>
      <c r="H76" s="7"/>
      <c r="I76" s="11" t="n">
        <f aca="false">D76*$E$108</f>
        <v>31.3279332216</v>
      </c>
      <c r="J76" s="7"/>
      <c r="K76" s="8"/>
      <c r="L76" s="8"/>
      <c r="M76" s="8"/>
      <c r="N76" s="8"/>
      <c r="O76" s="8"/>
      <c r="P76" s="8"/>
      <c r="Q76" s="8"/>
      <c r="R76" s="8"/>
    </row>
    <row r="77" customFormat="false" ht="12.8" hidden="false" customHeight="false" outlineLevel="0" collapsed="false">
      <c r="B77" s="5" t="n">
        <v>25</v>
      </c>
      <c r="C77" s="6" t="s">
        <v>18</v>
      </c>
      <c r="D77" s="6" t="n">
        <v>0.749329</v>
      </c>
      <c r="E77" s="6" t="n">
        <f aca="false">D77*$E$107</f>
        <v>55.6027595186</v>
      </c>
      <c r="F77" s="7" t="n">
        <f aca="false">AVERAGE(E77:E79)</f>
        <v>47.8968353664667</v>
      </c>
      <c r="G77" s="6" t="n">
        <f aca="false">D77*$E$109</f>
        <v>22.1956495103</v>
      </c>
      <c r="H77" s="7" t="n">
        <f aca="false">AVERAGE(G77:G79)</f>
        <v>19.1195793095667</v>
      </c>
      <c r="I77" s="6" t="n">
        <f aca="false">D77*$E$108</f>
        <v>33.3234848919</v>
      </c>
      <c r="J77" s="7" t="n">
        <f aca="false">AVERAGE(I77:I79)</f>
        <v>28.7052204517</v>
      </c>
      <c r="K77" s="8"/>
      <c r="L77" s="8"/>
      <c r="M77" s="8"/>
      <c r="N77" s="8"/>
      <c r="O77" s="8"/>
      <c r="P77" s="8"/>
      <c r="Q77" s="8"/>
      <c r="R77" s="8"/>
    </row>
    <row r="78" customFormat="false" ht="12.8" hidden="false" customHeight="false" outlineLevel="0" collapsed="false">
      <c r="B78" s="5"/>
      <c r="C78" s="9" t="s">
        <v>19</v>
      </c>
      <c r="D78" s="9" t="n">
        <v>0.497589</v>
      </c>
      <c r="E78" s="9" t="n">
        <f aca="false">D78*$E$107</f>
        <v>36.9227956026</v>
      </c>
      <c r="F78" s="7"/>
      <c r="G78" s="9" t="n">
        <f aca="false">D78*$E$109</f>
        <v>14.7389344923</v>
      </c>
      <c r="H78" s="7"/>
      <c r="I78" s="9" t="n">
        <f aca="false">D78*$E$108</f>
        <v>22.1283301779</v>
      </c>
      <c r="J78" s="7"/>
      <c r="K78" s="8"/>
      <c r="L78" s="8"/>
      <c r="M78" s="8"/>
      <c r="N78" s="8"/>
      <c r="O78" s="8"/>
      <c r="P78" s="8"/>
      <c r="Q78" s="8"/>
      <c r="R78" s="8"/>
    </row>
    <row r="79" customFormat="false" ht="12.8" hidden="false" customHeight="false" outlineLevel="0" collapsed="false">
      <c r="B79" s="5"/>
      <c r="C79" s="11" t="s">
        <v>20</v>
      </c>
      <c r="D79" s="11" t="n">
        <v>0.689523</v>
      </c>
      <c r="E79" s="11" t="n">
        <f aca="false">D79*$E$107</f>
        <v>51.1649509782</v>
      </c>
      <c r="F79" s="7"/>
      <c r="G79" s="11" t="n">
        <f aca="false">D79*$E$109</f>
        <v>20.4241539261</v>
      </c>
      <c r="H79" s="7"/>
      <c r="I79" s="11" t="n">
        <f aca="false">D79*$E$108</f>
        <v>30.6638462853</v>
      </c>
      <c r="J79" s="7"/>
      <c r="K79" s="8"/>
      <c r="L79" s="8"/>
      <c r="M79" s="8"/>
      <c r="N79" s="8"/>
      <c r="O79" s="8"/>
      <c r="P79" s="8"/>
      <c r="Q79" s="8"/>
      <c r="R79" s="8"/>
    </row>
    <row r="80" customFormat="false" ht="12.8" hidden="false" customHeight="false" outlineLevel="0" collapsed="false">
      <c r="B80" s="5" t="n">
        <v>26</v>
      </c>
      <c r="C80" s="6" t="s">
        <v>18</v>
      </c>
      <c r="D80" s="6" t="n">
        <v>0.704811</v>
      </c>
      <c r="E80" s="6" t="n">
        <f aca="false">D80*$E$107</f>
        <v>52.2993725574</v>
      </c>
      <c r="F80" s="7" t="n">
        <f aca="false">AVERAGE(E80:E82)</f>
        <v>43.1591214177333</v>
      </c>
      <c r="G80" s="6" t="n">
        <f aca="false">D80*$E$109</f>
        <v>20.8769951877</v>
      </c>
      <c r="H80" s="7" t="n">
        <f aca="false">AVERAGE(G80:G82)</f>
        <v>17.2283667295333</v>
      </c>
      <c r="I80" s="6" t="n">
        <f aca="false">D80*$E$108</f>
        <v>31.3437204621</v>
      </c>
      <c r="J80" s="7" t="n">
        <f aca="false">AVERAGE(I80:I82)</f>
        <v>25.8658444826</v>
      </c>
      <c r="K80" s="8"/>
      <c r="L80" s="8"/>
      <c r="M80" s="8"/>
      <c r="N80" s="8"/>
      <c r="O80" s="8"/>
      <c r="P80" s="8"/>
      <c r="Q80" s="8"/>
      <c r="R80" s="8"/>
    </row>
    <row r="81" customFormat="false" ht="12.8" hidden="false" customHeight="false" outlineLevel="0" collapsed="false">
      <c r="B81" s="5"/>
      <c r="C81" s="9" t="s">
        <v>19</v>
      </c>
      <c r="D81" s="9" t="n">
        <v>0.411878</v>
      </c>
      <c r="E81" s="9" t="n">
        <f aca="false">D81*$E$107</f>
        <v>30.5627479852</v>
      </c>
      <c r="F81" s="7"/>
      <c r="G81" s="9" t="n">
        <f aca="false">D81*$E$109</f>
        <v>12.2001146746</v>
      </c>
      <c r="H81" s="7"/>
      <c r="I81" s="9" t="n">
        <f aca="false">D81*$E$108</f>
        <v>18.3166677258</v>
      </c>
      <c r="J81" s="7"/>
      <c r="K81" s="8"/>
      <c r="L81" s="8"/>
      <c r="M81" s="8"/>
      <c r="N81" s="8"/>
      <c r="O81" s="8"/>
      <c r="P81" s="8"/>
      <c r="Q81" s="8"/>
      <c r="R81" s="8"/>
    </row>
    <row r="82" customFormat="false" ht="12.8" hidden="false" customHeight="false" outlineLevel="0" collapsed="false">
      <c r="B82" s="5"/>
      <c r="C82" s="11" t="s">
        <v>20</v>
      </c>
      <c r="D82" s="11" t="n">
        <v>0.628209</v>
      </c>
      <c r="E82" s="11" t="n">
        <f aca="false">D82*$E$107</f>
        <v>46.6152437106</v>
      </c>
      <c r="F82" s="7"/>
      <c r="G82" s="11" t="n">
        <f aca="false">D82*$E$109</f>
        <v>18.6079903263</v>
      </c>
      <c r="H82" s="7"/>
      <c r="I82" s="11" t="n">
        <f aca="false">D82*$E$108</f>
        <v>27.9371452599</v>
      </c>
      <c r="J82" s="7"/>
      <c r="K82" s="8"/>
      <c r="L82" s="8"/>
      <c r="M82" s="8"/>
      <c r="N82" s="8"/>
      <c r="O82" s="8"/>
      <c r="P82" s="8"/>
      <c r="Q82" s="8"/>
      <c r="R82" s="8"/>
    </row>
    <row r="83" customFormat="false" ht="12.8" hidden="false" customHeight="false" outlineLevel="0" collapsed="false">
      <c r="B83" s="5" t="n">
        <v>27</v>
      </c>
      <c r="C83" s="6" t="s">
        <v>18</v>
      </c>
      <c r="D83" s="6" t="n">
        <v>0.74002</v>
      </c>
      <c r="E83" s="6" t="n">
        <f aca="false">D83*$E$107</f>
        <v>54.912000068</v>
      </c>
      <c r="F83" s="7" t="n">
        <f aca="false">AVERAGE(E83:E85)</f>
        <v>47.4559434981333</v>
      </c>
      <c r="G83" s="6" t="n">
        <f aca="false">D83*$E$109</f>
        <v>21.919910414</v>
      </c>
      <c r="H83" s="7" t="n">
        <f aca="false">AVERAGE(G83:G85)</f>
        <v>18.9435829837333</v>
      </c>
      <c r="I83" s="6" t="n">
        <f aca="false">D83*$E$108</f>
        <v>32.909503422</v>
      </c>
      <c r="J83" s="7" t="n">
        <f aca="false">AVERAGE(I83:I85)</f>
        <v>28.4409879992</v>
      </c>
      <c r="K83" s="8"/>
      <c r="L83" s="8"/>
      <c r="M83" s="8"/>
      <c r="N83" s="8"/>
      <c r="O83" s="8"/>
      <c r="P83" s="8"/>
      <c r="Q83" s="8"/>
      <c r="R83" s="8"/>
    </row>
    <row r="84" customFormat="false" ht="12.8" hidden="false" customHeight="false" outlineLevel="0" collapsed="false">
      <c r="B84" s="5"/>
      <c r="C84" s="9" t="s">
        <v>19</v>
      </c>
      <c r="D84" s="9" t="n">
        <v>0.508349</v>
      </c>
      <c r="E84" s="9" t="n">
        <f aca="false">D84*$E$107</f>
        <v>37.7212241866</v>
      </c>
      <c r="F84" s="7"/>
      <c r="G84" s="9" t="n">
        <f aca="false">D84*$E$109</f>
        <v>15.0576532243</v>
      </c>
      <c r="H84" s="7"/>
      <c r="I84" s="9" t="n">
        <f aca="false">D84*$E$108</f>
        <v>22.6068392139</v>
      </c>
      <c r="J84" s="7"/>
      <c r="K84" s="8"/>
      <c r="L84" s="8"/>
      <c r="M84" s="8"/>
      <c r="N84" s="8"/>
      <c r="O84" s="8"/>
      <c r="P84" s="8"/>
      <c r="Q84" s="8"/>
      <c r="R84" s="8"/>
    </row>
    <row r="85" customFormat="false" ht="12.8" hidden="false" customHeight="false" outlineLevel="0" collapsed="false">
      <c r="B85" s="5"/>
      <c r="C85" s="11" t="s">
        <v>20</v>
      </c>
      <c r="D85" s="11" t="n">
        <v>0.670247</v>
      </c>
      <c r="E85" s="11" t="n">
        <f aca="false">D85*$E$107</f>
        <v>49.7346062398</v>
      </c>
      <c r="F85" s="7"/>
      <c r="G85" s="11" t="n">
        <f aca="false">D85*$E$109</f>
        <v>19.8531853129</v>
      </c>
      <c r="H85" s="7"/>
      <c r="I85" s="11" t="n">
        <f aca="false">D85*$E$108</f>
        <v>29.8066213617</v>
      </c>
      <c r="J85" s="7"/>
      <c r="K85" s="8"/>
      <c r="L85" s="8"/>
      <c r="M85" s="8"/>
      <c r="N85" s="8"/>
      <c r="O85" s="8"/>
      <c r="P85" s="8"/>
      <c r="Q85" s="8"/>
      <c r="R85" s="8"/>
    </row>
    <row r="86" customFormat="false" ht="12.8" hidden="false" customHeight="false" outlineLevel="0" collapsed="false">
      <c r="B86" s="5" t="n">
        <v>28</v>
      </c>
      <c r="C86" s="6" t="s">
        <v>18</v>
      </c>
      <c r="D86" s="6" t="n">
        <v>0.712441</v>
      </c>
      <c r="E86" s="6" t="n">
        <f aca="false">D86*$E$107</f>
        <v>52.8655444994</v>
      </c>
      <c r="F86" s="7" t="n">
        <f aca="false">AVERAGE(E86:E88)</f>
        <v>47.4991298769333</v>
      </c>
      <c r="G86" s="6" t="n">
        <f aca="false">D86*$E$109</f>
        <v>21.1030011287</v>
      </c>
      <c r="H86" s="7" t="n">
        <f aca="false">AVERAGE(G86:G88)</f>
        <v>18.9608222311333</v>
      </c>
      <c r="I86" s="6" t="n">
        <f aca="false">D86*$E$108</f>
        <v>31.6830349551</v>
      </c>
      <c r="J86" s="7" t="n">
        <f aca="false">AVERAGE(I86:I88)</f>
        <v>28.4668701794</v>
      </c>
      <c r="K86" s="8"/>
      <c r="L86" s="8"/>
      <c r="M86" s="8"/>
      <c r="N86" s="8"/>
      <c r="O86" s="8"/>
      <c r="P86" s="8"/>
      <c r="Q86" s="8"/>
      <c r="R86" s="8"/>
    </row>
    <row r="87" customFormat="false" ht="12.8" hidden="false" customHeight="false" outlineLevel="0" collapsed="false">
      <c r="B87" s="5"/>
      <c r="C87" s="9" t="s">
        <v>19</v>
      </c>
      <c r="D87" s="9" t="n">
        <v>0.51056</v>
      </c>
      <c r="E87" s="9" t="n">
        <f aca="false">D87*$E$107</f>
        <v>37.885287904</v>
      </c>
      <c r="F87" s="7"/>
      <c r="G87" s="9" t="n">
        <f aca="false">D87*$E$109</f>
        <v>15.123144592</v>
      </c>
      <c r="H87" s="7"/>
      <c r="I87" s="9" t="n">
        <f aca="false">D87*$E$108</f>
        <v>22.705164816</v>
      </c>
      <c r="J87" s="7"/>
      <c r="K87" s="8"/>
      <c r="L87" s="8"/>
      <c r="M87" s="8"/>
      <c r="N87" s="8"/>
      <c r="O87" s="8"/>
      <c r="P87" s="8"/>
      <c r="Q87" s="8"/>
      <c r="R87" s="8"/>
    </row>
    <row r="88" customFormat="false" ht="12.8" hidden="false" customHeight="false" outlineLevel="0" collapsed="false">
      <c r="B88" s="5"/>
      <c r="C88" s="11" t="s">
        <v>20</v>
      </c>
      <c r="D88" s="11" t="n">
        <v>0.697361</v>
      </c>
      <c r="E88" s="11" t="n">
        <f aca="false">D88*$E$107</f>
        <v>51.7465572274</v>
      </c>
      <c r="F88" s="7"/>
      <c r="G88" s="11" t="n">
        <f aca="false">D88*$E$109</f>
        <v>20.6563209727</v>
      </c>
      <c r="H88" s="7"/>
      <c r="I88" s="11" t="n">
        <f aca="false">D88*$E$108</f>
        <v>31.0124107671</v>
      </c>
      <c r="J88" s="7"/>
      <c r="K88" s="8"/>
      <c r="L88" s="8"/>
      <c r="M88" s="8"/>
      <c r="N88" s="8"/>
      <c r="O88" s="8"/>
      <c r="P88" s="8"/>
      <c r="Q88" s="8"/>
      <c r="R88" s="8"/>
    </row>
    <row r="89" customFormat="false" ht="12.8" hidden="false" customHeight="false" outlineLevel="0" collapsed="false">
      <c r="B89" s="5" t="n">
        <v>29</v>
      </c>
      <c r="C89" s="6" t="s">
        <v>18</v>
      </c>
      <c r="D89" s="6" t="n">
        <v>0.786671</v>
      </c>
      <c r="E89" s="6" t="n">
        <f aca="false">D89*$E$107</f>
        <v>58.3736628814</v>
      </c>
      <c r="F89" s="7" t="n">
        <f aca="false">AVERAGE(E89:E91)</f>
        <v>52.0638262313333</v>
      </c>
      <c r="G89" s="6" t="n">
        <f aca="false">D89*$E$109</f>
        <v>23.3017456897</v>
      </c>
      <c r="H89" s="7" t="n">
        <f aca="false">AVERAGE(G89:G91)</f>
        <v>20.7829692123333</v>
      </c>
      <c r="I89" s="6" t="n">
        <f aca="false">D89*$E$108</f>
        <v>34.9841247081</v>
      </c>
      <c r="J89" s="7" t="n">
        <f aca="false">AVERAGE(I89:I91)</f>
        <v>31.202554367</v>
      </c>
      <c r="K89" s="8"/>
      <c r="L89" s="8"/>
      <c r="M89" s="8"/>
      <c r="N89" s="8"/>
      <c r="O89" s="8"/>
      <c r="P89" s="8"/>
      <c r="Q89" s="8"/>
      <c r="R89" s="8"/>
    </row>
    <row r="90" customFormat="false" ht="12.8" hidden="false" customHeight="false" outlineLevel="0" collapsed="false">
      <c r="B90" s="5"/>
      <c r="C90" s="9" t="s">
        <v>19</v>
      </c>
      <c r="D90" s="9" t="n">
        <v>0.5483</v>
      </c>
      <c r="E90" s="9" t="n">
        <f aca="false">D90*$E$107</f>
        <v>40.68572422</v>
      </c>
      <c r="F90" s="7"/>
      <c r="G90" s="9" t="n">
        <f aca="false">D90*$E$109</f>
        <v>16.24102981</v>
      </c>
      <c r="H90" s="7"/>
      <c r="I90" s="9" t="n">
        <f aca="false">D90*$E$108</f>
        <v>24.38350413</v>
      </c>
      <c r="J90" s="7"/>
      <c r="K90" s="8"/>
      <c r="L90" s="8"/>
      <c r="M90" s="8"/>
      <c r="N90" s="8"/>
      <c r="O90" s="8"/>
      <c r="P90" s="8"/>
      <c r="Q90" s="8"/>
      <c r="R90" s="8"/>
    </row>
    <row r="91" customFormat="false" ht="12.8" hidden="false" customHeight="false" outlineLevel="0" collapsed="false">
      <c r="B91" s="5"/>
      <c r="C91" s="11" t="s">
        <v>20</v>
      </c>
      <c r="D91" s="11" t="n">
        <v>0.769939</v>
      </c>
      <c r="E91" s="11" t="n">
        <f aca="false">D91*$E$107</f>
        <v>57.1320915926</v>
      </c>
      <c r="F91" s="7"/>
      <c r="G91" s="11" t="n">
        <f aca="false">D91*$E$109</f>
        <v>22.8061321373</v>
      </c>
      <c r="H91" s="7"/>
      <c r="I91" s="11" t="n">
        <f aca="false">D91*$E$108</f>
        <v>34.2400342629</v>
      </c>
      <c r="J91" s="7"/>
      <c r="K91" s="8"/>
      <c r="L91" s="8"/>
      <c r="M91" s="8"/>
      <c r="N91" s="8"/>
      <c r="O91" s="8"/>
      <c r="P91" s="8"/>
      <c r="Q91" s="8"/>
      <c r="R91" s="8"/>
    </row>
    <row r="92" customFormat="false" ht="12.8" hidden="false" customHeight="false" outlineLevel="0" collapsed="false">
      <c r="B92" s="5" t="n">
        <v>30</v>
      </c>
      <c r="C92" s="6" t="s">
        <v>18</v>
      </c>
      <c r="D92" s="6" t="n">
        <v>0.89303</v>
      </c>
      <c r="E92" s="6" t="n">
        <f aca="false">D92*$E$107</f>
        <v>66.265862302</v>
      </c>
      <c r="F92" s="7" t="n">
        <f aca="false">AVERAGE(E92:E94)</f>
        <v>62.675530793</v>
      </c>
      <c r="G92" s="6" t="n">
        <f aca="false">D92*$E$109</f>
        <v>26.452173721</v>
      </c>
      <c r="H92" s="7" t="n">
        <f aca="false">AVERAGE(G92:G94)</f>
        <v>25.0189761515</v>
      </c>
      <c r="I92" s="6" t="n">
        <f aca="false">D92*$E$108</f>
        <v>39.714026433</v>
      </c>
      <c r="J92" s="7" t="n">
        <f aca="false">AVERAGE(I92:I94)</f>
        <v>37.5622922595</v>
      </c>
      <c r="K92" s="8"/>
      <c r="L92" s="8"/>
      <c r="M92" s="8"/>
      <c r="N92" s="8"/>
      <c r="O92" s="8"/>
      <c r="P92" s="8"/>
      <c r="Q92" s="8"/>
      <c r="R92" s="8"/>
    </row>
    <row r="93" customFormat="false" ht="12.8" hidden="false" customHeight="false" outlineLevel="0" collapsed="false">
      <c r="B93" s="5"/>
      <c r="C93" s="9" t="s">
        <v>19</v>
      </c>
      <c r="D93" s="9" t="n">
        <v>0.769837</v>
      </c>
      <c r="E93" s="9" t="n">
        <f aca="false">D93*$E$107</f>
        <v>57.1245228458</v>
      </c>
      <c r="F93" s="7"/>
      <c r="G93" s="9" t="n">
        <f aca="false">D93*$E$109</f>
        <v>22.8031108259</v>
      </c>
      <c r="H93" s="7"/>
      <c r="I93" s="9" t="n">
        <f aca="false">D93*$E$108</f>
        <v>34.2354982107</v>
      </c>
      <c r="J93" s="7"/>
      <c r="K93" s="8"/>
      <c r="L93" s="8"/>
      <c r="M93" s="8"/>
      <c r="N93" s="8"/>
      <c r="O93" s="8"/>
      <c r="P93" s="8"/>
      <c r="Q93" s="8"/>
      <c r="R93" s="8"/>
    </row>
    <row r="94" customFormat="false" ht="12.8" hidden="false" customHeight="false" outlineLevel="0" collapsed="false">
      <c r="B94" s="5"/>
      <c r="C94" s="11" t="s">
        <v>20</v>
      </c>
      <c r="D94" s="11" t="n">
        <v>0.871068</v>
      </c>
      <c r="E94" s="11" t="n">
        <f aca="false">D94*$E$107</f>
        <v>64.6362072312</v>
      </c>
      <c r="F94" s="7"/>
      <c r="G94" s="11" t="n">
        <f aca="false">D94*$E$109</f>
        <v>25.8016439076</v>
      </c>
      <c r="H94" s="7"/>
      <c r="I94" s="11" t="n">
        <f aca="false">D94*$E$108</f>
        <v>38.7373521348</v>
      </c>
      <c r="J94" s="7"/>
      <c r="K94" s="8"/>
      <c r="L94" s="8"/>
      <c r="M94" s="8"/>
      <c r="N94" s="8"/>
      <c r="O94" s="8"/>
      <c r="P94" s="8"/>
      <c r="Q94" s="8"/>
      <c r="R94" s="8"/>
    </row>
    <row r="95" customFormat="false" ht="12.8" hidden="false" customHeight="false" outlineLevel="0" collapsed="false">
      <c r="B95" s="5" t="n">
        <v>31</v>
      </c>
      <c r="C95" s="6" t="s">
        <v>18</v>
      </c>
      <c r="D95" s="6" t="n">
        <v>0.731897</v>
      </c>
      <c r="E95" s="6" t="n">
        <f aca="false">D95*$E$107</f>
        <v>54.3092458498</v>
      </c>
      <c r="F95" s="7" t="n">
        <f aca="false">AVERAGE(E95:E97)</f>
        <v>43.8371673524667</v>
      </c>
      <c r="G95" s="6" t="n">
        <f aca="false">D95*$E$109</f>
        <v>21.6793014679</v>
      </c>
      <c r="H95" s="7" t="n">
        <f aca="false">AVERAGE(G95:G97)</f>
        <v>17.4990308125667</v>
      </c>
      <c r="I95" s="6" t="n">
        <f aca="false">D95*$E$108</f>
        <v>32.5482646767</v>
      </c>
      <c r="J95" s="7" t="n">
        <f aca="false">AVERAGE(I95:I97)</f>
        <v>26.2722065707</v>
      </c>
      <c r="K95" s="8"/>
      <c r="L95" s="8"/>
      <c r="M95" s="8"/>
      <c r="N95" s="8"/>
      <c r="O95" s="8"/>
      <c r="P95" s="8"/>
      <c r="Q95" s="8"/>
      <c r="R95" s="8"/>
    </row>
    <row r="96" customFormat="false" ht="12.8" hidden="false" customHeight="false" outlineLevel="0" collapsed="false">
      <c r="B96" s="5"/>
      <c r="C96" s="9" t="s">
        <v>19</v>
      </c>
      <c r="D96" s="9" t="n">
        <v>0.450255</v>
      </c>
      <c r="E96" s="9" t="n">
        <f aca="false">D96*$E$107</f>
        <v>33.410451867</v>
      </c>
      <c r="F96" s="7"/>
      <c r="G96" s="9" t="n">
        <f aca="false">D96*$E$109</f>
        <v>13.3368682785</v>
      </c>
      <c r="H96" s="7"/>
      <c r="I96" s="9" t="n">
        <f aca="false">D96*$E$108</f>
        <v>20.0233351305</v>
      </c>
      <c r="J96" s="7"/>
      <c r="K96" s="8"/>
      <c r="L96" s="8"/>
      <c r="M96" s="8"/>
      <c r="N96" s="8"/>
      <c r="O96" s="8"/>
      <c r="P96" s="8"/>
      <c r="Q96" s="8"/>
      <c r="R96" s="8"/>
    </row>
    <row r="97" customFormat="false" ht="12.8" hidden="false" customHeight="false" outlineLevel="0" collapsed="false">
      <c r="B97" s="5"/>
      <c r="C97" s="11" t="s">
        <v>20</v>
      </c>
      <c r="D97" s="11" t="n">
        <v>0.590159</v>
      </c>
      <c r="E97" s="11" t="n">
        <f aca="false">D97*$E$107</f>
        <v>43.7918043406</v>
      </c>
      <c r="F97" s="7"/>
      <c r="G97" s="11" t="n">
        <f aca="false">D97*$E$109</f>
        <v>17.4809226913</v>
      </c>
      <c r="H97" s="7"/>
      <c r="I97" s="11" t="n">
        <f aca="false">D97*$E$108</f>
        <v>26.2450199049</v>
      </c>
      <c r="J97" s="7"/>
      <c r="K97" s="8"/>
      <c r="L97" s="8"/>
      <c r="M97" s="8"/>
      <c r="N97" s="8"/>
      <c r="O97" s="8"/>
      <c r="P97" s="8"/>
      <c r="Q97" s="8"/>
      <c r="R97" s="8"/>
    </row>
    <row r="100" customFormat="false" ht="12.8" hidden="false" customHeight="false" outlineLevel="0" collapsed="false">
      <c r="B100" s="10"/>
    </row>
    <row r="103" customFormat="false" ht="35.95" hidden="false" customHeight="false" outlineLevel="0" collapsed="false">
      <c r="B103" s="4" t="s">
        <v>22</v>
      </c>
      <c r="C103" s="3" t="s">
        <v>23</v>
      </c>
      <c r="D103" s="4" t="s">
        <v>24</v>
      </c>
      <c r="E103" s="4" t="s">
        <v>25</v>
      </c>
    </row>
    <row r="104" customFormat="false" ht="12.8" hidden="false" customHeight="false" outlineLevel="0" collapsed="false">
      <c r="B104" s="13" t="s">
        <v>26</v>
      </c>
      <c r="C104" s="13" t="n">
        <v>5.8</v>
      </c>
      <c r="D104" s="8" t="s">
        <v>27</v>
      </c>
      <c r="E104" s="8" t="n">
        <v>130.522</v>
      </c>
      <c r="Z104" s="14"/>
    </row>
    <row r="105" customFormat="false" ht="12.8" hidden="false" customHeight="false" outlineLevel="0" collapsed="false">
      <c r="B105" s="13" t="s">
        <v>26</v>
      </c>
      <c r="C105" s="13" t="n">
        <v>5.16</v>
      </c>
      <c r="D105" s="8" t="s">
        <v>27</v>
      </c>
      <c r="E105" s="8" t="n">
        <v>140.548</v>
      </c>
    </row>
    <row r="106" customFormat="false" ht="12.8" hidden="false" customHeight="false" outlineLevel="0" collapsed="false">
      <c r="B106" s="13" t="s">
        <v>26</v>
      </c>
      <c r="C106" s="13" t="n">
        <v>5.49</v>
      </c>
      <c r="D106" s="8" t="s">
        <v>27</v>
      </c>
      <c r="E106" s="8" t="n">
        <v>135.243</v>
      </c>
    </row>
    <row r="107" customFormat="false" ht="12.8" hidden="false" customHeight="false" outlineLevel="0" collapsed="false">
      <c r="B107" s="13" t="s">
        <v>28</v>
      </c>
      <c r="C107" s="13" t="n">
        <v>1</v>
      </c>
      <c r="D107" s="8" t="s">
        <v>27</v>
      </c>
      <c r="E107" s="8" t="n">
        <v>74.2034</v>
      </c>
    </row>
    <row r="108" customFormat="false" ht="12.8" hidden="false" customHeight="false" outlineLevel="0" collapsed="false">
      <c r="B108" s="8" t="s">
        <v>28</v>
      </c>
      <c r="C108" s="8" t="n">
        <v>2.6</v>
      </c>
      <c r="D108" s="8" t="s">
        <v>27</v>
      </c>
      <c r="E108" s="8" t="n">
        <v>44.4711</v>
      </c>
      <c r="F108" s="10"/>
    </row>
    <row r="109" customFormat="false" ht="12.8" hidden="false" customHeight="false" outlineLevel="0" collapsed="false">
      <c r="B109" s="8" t="s">
        <v>28</v>
      </c>
      <c r="C109" s="8" t="n">
        <v>5</v>
      </c>
      <c r="D109" s="8" t="s">
        <v>27</v>
      </c>
      <c r="E109" s="8" t="n">
        <v>29.6207</v>
      </c>
    </row>
    <row r="111" customFormat="false" ht="12.8" hidden="false" customHeight="false" outlineLevel="0" collapsed="false">
      <c r="B111" s="0"/>
      <c r="C111" s="0"/>
    </row>
    <row r="113" customFormat="false" ht="35.95" hidden="false" customHeight="false" outlineLevel="0" collapsed="false">
      <c r="B113" s="4" t="s">
        <v>29</v>
      </c>
      <c r="C113" s="4" t="s">
        <v>30</v>
      </c>
      <c r="D113" s="4" t="s">
        <v>31</v>
      </c>
      <c r="E113" s="0"/>
    </row>
    <row r="114" customFormat="false" ht="23.85" hidden="false" customHeight="false" outlineLevel="0" collapsed="false">
      <c r="B114" s="15" t="s">
        <v>32</v>
      </c>
      <c r="C114" s="15" t="n">
        <v>17</v>
      </c>
      <c r="D114" s="8" t="n">
        <f aca="false">C114*$C$120</f>
        <v>15835.5</v>
      </c>
    </row>
    <row r="115" customFormat="false" ht="23.85" hidden="false" customHeight="false" outlineLevel="0" collapsed="false">
      <c r="B115" s="15" t="s">
        <v>33</v>
      </c>
      <c r="C115" s="15" t="n">
        <v>21</v>
      </c>
      <c r="D115" s="8" t="n">
        <f aca="false">C115*$C$120</f>
        <v>19561.5</v>
      </c>
    </row>
    <row r="116" customFormat="false" ht="23.85" hidden="false" customHeight="false" outlineLevel="0" collapsed="false">
      <c r="B116" s="15" t="s">
        <v>34</v>
      </c>
      <c r="C116" s="15" t="n">
        <v>3</v>
      </c>
      <c r="D116" s="8" t="n">
        <f aca="false">C116*$C$120</f>
        <v>2794.5</v>
      </c>
    </row>
    <row r="117" customFormat="false" ht="23.85" hidden="false" customHeight="false" outlineLevel="0" collapsed="false">
      <c r="B117" s="15" t="s">
        <v>35</v>
      </c>
      <c r="C117" s="15" t="n">
        <v>7</v>
      </c>
      <c r="D117" s="8" t="n">
        <f aca="false">C117*$C$120</f>
        <v>6520.5</v>
      </c>
    </row>
    <row r="118" customFormat="false" ht="23.85" hidden="false" customHeight="false" outlineLevel="0" collapsed="false">
      <c r="B118" s="15" t="s">
        <v>36</v>
      </c>
      <c r="C118" s="15" t="n">
        <v>68</v>
      </c>
      <c r="D118" s="16"/>
    </row>
    <row r="119" customFormat="false" ht="47.45" hidden="false" customHeight="false" outlineLevel="0" collapsed="false">
      <c r="B119" s="15" t="s">
        <v>37</v>
      </c>
      <c r="C119" s="15" t="n">
        <v>67.7837</v>
      </c>
    </row>
    <row r="120" customFormat="false" ht="23.85" hidden="false" customHeight="false" outlineLevel="0" collapsed="false">
      <c r="B120" s="15" t="s">
        <v>38</v>
      </c>
      <c r="C120" s="15" t="n">
        <v>931.5</v>
      </c>
    </row>
    <row r="122" s="14" customFormat="true" ht="35.95" hidden="false" customHeight="false" outlineLevel="0" collapsed="false">
      <c r="B122" s="4" t="s">
        <v>39</v>
      </c>
      <c r="C122" s="4" t="s">
        <v>40</v>
      </c>
      <c r="D122" s="4" t="s">
        <v>41</v>
      </c>
      <c r="F122" s="17"/>
      <c r="H122" s="17"/>
      <c r="J122" s="17"/>
      <c r="Z122" s="1"/>
      <c r="XFC122" s="0"/>
      <c r="XFD122" s="0"/>
    </row>
    <row r="123" customFormat="false" ht="12.8" hidden="false" customHeight="false" outlineLevel="0" collapsed="false">
      <c r="B123" s="8" t="n">
        <v>20.9</v>
      </c>
      <c r="C123" s="8" t="n">
        <v>1</v>
      </c>
      <c r="D123" s="8" t="n">
        <f aca="false">(SQRT($D$114^2 + $D$117^2 + $D$116^2 + 2*$D$114*$D$117 + 2*$D$117*$C$119 - 2*($D$116 + C123)*($D$114 + $C$119 + $D$117) + 2*COS(RADIANS(180-B123))*SQRT($C$119^2 + 2*$D$114*$C$119)*SQRT(C123^2 + 2*$D$116*C123)) - $D$115) * 1000</f>
        <v>6526.51792858887</v>
      </c>
    </row>
    <row r="124" customFormat="false" ht="12.8" hidden="false" customHeight="false" outlineLevel="0" collapsed="false">
      <c r="B124" s="8"/>
      <c r="C124" s="8" t="n">
        <v>5</v>
      </c>
      <c r="D124" s="8" t="n">
        <f aca="false">(SQRT($D$114^2 + $D$117^2 + $D$116^2 + 2*$D$114*$D$117 + 2*$D$117*$C$119 - 2*($D$116 + C124)*($D$114 + $C$119 + $D$117) + 2*COS(RADIANS(180-B124))*SQRT($C$119^2 + 2*$D$114*$C$119)*SQRT(C124^2 + 2*$D$116*C124)) - $D$115) * 1000</f>
        <v>-5361.28993425518</v>
      </c>
    </row>
    <row r="125" customFormat="false" ht="12.8" hidden="false" customHeight="false" outlineLevel="0" collapsed="false">
      <c r="B125" s="8"/>
      <c r="C125" s="8" t="n">
        <v>2.6</v>
      </c>
      <c r="D125" s="8" t="n">
        <f aca="false">(SQRT($D$114^2 + $D$117^2 + $D$116^2 + 2*$D$114*$D$117 + 2*$D$117*$C$119 - 2*($D$116 + C125)*($D$114 + $C$119 + $D$117) + 2*COS(RADIANS(180-B125))*SQRT($C$119^2 + 2*$D$114*$C$119)*SQRT(C125^2 + 2*$D$116*C125)) - $D$115) * 1000</f>
        <v>889.850250216114</v>
      </c>
    </row>
    <row r="126" customFormat="false" ht="12.8" hidden="false" customHeight="false" outlineLevel="0" collapsed="false">
      <c r="B126" s="8" t="n">
        <v>22.6</v>
      </c>
      <c r="C126" s="8" t="n">
        <v>1</v>
      </c>
      <c r="D126" s="8" t="n">
        <f aca="false">(SQRT($D$114^2 + $D$117^2 + $D$116^2 + 2*$D$114*$D$117 + 2*$D$117*$C$119 - 2*($D$116 + C126)*($D$114 + $C$119 + $D$117) + 2*COS(RADIANS(180-B126))*SQRT($C$119^2 + 2*$D$114*$C$119)*SQRT(C126^2 + 2*$D$116*C126)) - $D$115) * 1000</f>
        <v>6588.13227704741</v>
      </c>
    </row>
    <row r="127" customFormat="false" ht="12.8" hidden="false" customHeight="false" outlineLevel="0" collapsed="false">
      <c r="B127" s="8"/>
      <c r="C127" s="8" t="n">
        <v>5</v>
      </c>
      <c r="D127" s="8" t="n">
        <f aca="false">(SQRT($D$114^2 + $D$117^2 + $D$116^2 + 2*$D$114*$D$117 + 2*$D$117*$C$119 - 2*($D$116 + C127)*($D$114 + $C$119 + $D$117) + 2*COS(RADIANS(180-B127))*SQRT($C$119^2 + 2*$D$114*$C$119)*SQRT(C127^2 + 2*$D$116*C127)) - $D$115) * 1000</f>
        <v>-5361.28993425518</v>
      </c>
    </row>
    <row r="128" customFormat="false" ht="12.8" hidden="false" customHeight="false" outlineLevel="0" collapsed="false">
      <c r="B128" s="8"/>
      <c r="C128" s="8" t="n">
        <v>2.6</v>
      </c>
      <c r="D128" s="8" t="n">
        <f aca="false">(SQRT($D$114^2 + $D$117^2 + $D$116^2 + 2*$D$114*$D$117 + 2*$D$117*$C$119 - 2*($D$116 + C128)*($D$114 + $C$119 + $D$117) + 2*COS(RADIANS(180-B128))*SQRT($C$119^2 + 2*$D$114*$C$119)*SQRT(C128^2 + 2*$D$116*C128)) - $D$115) * 1000</f>
        <v>889.850250216114</v>
      </c>
    </row>
    <row r="129" customFormat="false" ht="12.8" hidden="false" customHeight="false" outlineLevel="0" collapsed="false">
      <c r="B129" s="8" t="n">
        <v>24.2</v>
      </c>
      <c r="C129" s="8" t="n">
        <v>1</v>
      </c>
      <c r="D129" s="8" t="n">
        <f aca="false">(SQRT($D$114^2 + $D$117^2 + $D$116^2 + 2*$D$114*$D$117 + 2*$D$117*$C$119 - 2*($D$116 + C129)*($D$114 + $C$119 + $D$117) + 2*COS(RADIANS(180-B129))*SQRT($C$119^2 + 2*$D$114*$C$119)*SQRT(C129^2 + 2*$D$116*C129)) - $D$115) * 1000</f>
        <v>6650.28355929826</v>
      </c>
    </row>
    <row r="130" customFormat="false" ht="12.8" hidden="false" customHeight="false" outlineLevel="0" collapsed="false">
      <c r="B130" s="8"/>
      <c r="C130" s="8" t="n">
        <v>5</v>
      </c>
      <c r="D130" s="8" t="n">
        <f aca="false">(SQRT($D$114^2 + $D$117^2 + $D$116^2 + 2*$D$114*$D$117 + 2*$D$117*$C$119 - 2*($D$116 + C130)*($D$114 + $C$119 + $D$117) + 2*COS(RADIANS(180-B130))*SQRT($C$119^2 + 2*$D$114*$C$119)*SQRT(C130^2 + 2*$D$116*C130)) - $D$115) * 1000</f>
        <v>-5361.28993425518</v>
      </c>
    </row>
    <row r="131" customFormat="false" ht="12.8" hidden="false" customHeight="false" outlineLevel="0" collapsed="false">
      <c r="B131" s="8"/>
      <c r="C131" s="8" t="n">
        <v>2.6</v>
      </c>
      <c r="D131" s="8" t="n">
        <f aca="false">(SQRT($D$114^2 + $D$117^2 + $D$116^2 + 2*$D$114*$D$117 + 2*$D$117*$C$119 - 2*($D$116 + C131)*($D$114 + $C$119 + $D$117) + 2*COS(RADIANS(180-B131))*SQRT($C$119^2 + 2*$D$114*$C$119)*SQRT(C131^2 + 2*$D$116*C131)) - $D$115) * 1000</f>
        <v>889.850250216114</v>
      </c>
    </row>
    <row r="132" customFormat="false" ht="12.8" hidden="false" customHeight="false" outlineLevel="0" collapsed="false">
      <c r="B132" s="8" t="n">
        <v>25.8</v>
      </c>
      <c r="C132" s="8" t="n">
        <v>1</v>
      </c>
      <c r="D132" s="8" t="n">
        <f aca="false">(SQRT($D$114^2 + $D$117^2 + $D$116^2 + 2*$D$114*$D$117 + 2*$D$117*$C$119 - 2*($D$116 + C132)*($D$114 + $C$119 + $D$117) + 2*COS(RADIANS(180-B132))*SQRT($C$119^2 + 2*$D$114*$C$119)*SQRT(C132^2 + 2*$D$116*C132)) - $D$115) * 1000</f>
        <v>6716.42058630823</v>
      </c>
    </row>
    <row r="133" customFormat="false" ht="12.8" hidden="false" customHeight="false" outlineLevel="0" collapsed="false">
      <c r="B133" s="8"/>
      <c r="C133" s="8" t="n">
        <v>5</v>
      </c>
      <c r="D133" s="8" t="n">
        <f aca="false">(SQRT($D$114^2 + $D$117^2 + $D$116^2 + 2*$D$114*$D$117 + 2*$D$117*$C$119 - 2*($D$116 + C133)*($D$114 + $C$119 + $D$117) + 2*COS(RADIANS(180-B133))*SQRT($C$119^2 + 2*$D$114*$C$119)*SQRT(C133^2 + 2*$D$116*C133)) - $D$115) * 1000</f>
        <v>-5361.28993425518</v>
      </c>
    </row>
    <row r="134" customFormat="false" ht="12.8" hidden="false" customHeight="false" outlineLevel="0" collapsed="false">
      <c r="B134" s="8"/>
      <c r="C134" s="8" t="n">
        <v>2.6</v>
      </c>
      <c r="D134" s="8" t="n">
        <f aca="false">(SQRT($D$114^2 + $D$117^2 + $D$116^2 + 2*$D$114*$D$117 + 2*$D$117*$C$119 - 2*($D$116 + C134)*($D$114 + $C$119 + $D$117) + 2*COS(RADIANS(180-B134))*SQRT($C$119^2 + 2*$D$114*$C$119)*SQRT(C134^2 + 2*$D$116*C134)) - $D$115) * 1000</f>
        <v>889.850250216114</v>
      </c>
    </row>
    <row r="135" customFormat="false" ht="12.8" hidden="false" customHeight="false" outlineLevel="0" collapsed="false">
      <c r="B135" s="8" t="n">
        <v>27.3</v>
      </c>
      <c r="C135" s="8" t="n">
        <v>1</v>
      </c>
      <c r="D135" s="8" t="n">
        <f aca="false">(SQRT($D$114^2 + $D$117^2 + $D$116^2 + 2*$D$114*$D$117 + 2*$D$117*$C$119 - 2*($D$116 + C135)*($D$114 + $C$119 + $D$117) + 2*COS(RADIANS(180-B135))*SQRT($C$119^2 + 2*$D$114*$C$119)*SQRT(C135^2 + 2*$D$116*C135)) - $D$115) * 1000</f>
        <v>6781.99806028715</v>
      </c>
    </row>
    <row r="136" customFormat="false" ht="12.8" hidden="false" customHeight="false" outlineLevel="0" collapsed="false">
      <c r="B136" s="8"/>
      <c r="C136" s="8" t="n">
        <v>5</v>
      </c>
      <c r="D136" s="8" t="n">
        <f aca="false">(SQRT($D$114^2 + $D$117^2 + $D$116^2 + 2*$D$114*$D$117 + 2*$D$117*$C$119 - 2*($D$116 + C136)*($D$114 + $C$119 + $D$117) + 2*COS(RADIANS(180-B136))*SQRT($C$119^2 + 2*$D$114*$C$119)*SQRT(C136^2 + 2*$D$116*C136)) - $D$115) * 1000</f>
        <v>-5361.28993425518</v>
      </c>
    </row>
    <row r="137" customFormat="false" ht="12.8" hidden="false" customHeight="false" outlineLevel="0" collapsed="false">
      <c r="B137" s="8"/>
      <c r="C137" s="8" t="n">
        <v>2.6</v>
      </c>
      <c r="D137" s="8" t="n">
        <f aca="false">(SQRT($D$114^2 + $D$117^2 + $D$116^2 + 2*$D$114*$D$117 + 2*$D$117*$C$119 - 2*($D$116 + C137)*($D$114 + $C$119 + $D$117) + 2*COS(RADIANS(180-B137))*SQRT($C$119^2 + 2*$D$114*$C$119)*SQRT(C137^2 + 2*$D$116*C137)) - $D$115) * 1000</f>
        <v>889.850250216114</v>
      </c>
    </row>
    <row r="138" customFormat="false" ht="12.8" hidden="false" customHeight="false" outlineLevel="0" collapsed="false">
      <c r="B138" s="8" t="n">
        <v>28.8</v>
      </c>
      <c r="C138" s="8" t="n">
        <v>1</v>
      </c>
      <c r="D138" s="8" t="n">
        <f aca="false">(SQRT($D$114^2 + $D$117^2 + $D$116^2 + 2*$D$114*$D$117 + 2*$D$117*$C$119 - 2*($D$116 + C138)*($D$114 + $C$119 + $D$117) + 2*COS(RADIANS(180-B138))*SQRT($C$119^2 + 2*$D$114*$C$119)*SQRT(C138^2 + 2*$D$116*C138)) - $D$115) * 1000</f>
        <v>6850.9883174811</v>
      </c>
    </row>
    <row r="139" customFormat="false" ht="12.8" hidden="false" customHeight="false" outlineLevel="0" collapsed="false">
      <c r="B139" s="8"/>
      <c r="C139" s="8" t="n">
        <v>5</v>
      </c>
      <c r="D139" s="8" t="n">
        <f aca="false">(SQRT($D$114^2 + $D$117^2 + $D$116^2 + 2*$D$114*$D$117 + 2*$D$117*$C$119 - 2*($D$116 + C139)*($D$114 + $C$119 + $D$117) + 2*COS(RADIANS(180-B139))*SQRT($C$119^2 + 2*$D$114*$C$119)*SQRT(C139^2 + 2*$D$116*C139)) - $D$115) * 1000</f>
        <v>-5361.28993425518</v>
      </c>
    </row>
    <row r="140" customFormat="false" ht="12.8" hidden="false" customHeight="false" outlineLevel="0" collapsed="false">
      <c r="B140" s="8"/>
      <c r="C140" s="8" t="n">
        <v>2.6</v>
      </c>
      <c r="D140" s="8" t="n">
        <f aca="false">(SQRT($D$114^2 + $D$117^2 + $D$116^2 + 2*$D$114*$D$117 + 2*$D$117*$C$119 - 2*($D$116 + C140)*($D$114 + $C$119 + $D$117) + 2*COS(RADIANS(180-B140))*SQRT($C$119^2 + 2*$D$114*$C$119)*SQRT(C140^2 + 2*$D$116*C140)) - $D$115) * 1000</f>
        <v>889.850250216114</v>
      </c>
    </row>
    <row r="141" customFormat="false" ht="12.8" hidden="false" customHeight="false" outlineLevel="0" collapsed="false">
      <c r="B141" s="8" t="n">
        <v>30.2</v>
      </c>
      <c r="C141" s="8" t="n">
        <v>1</v>
      </c>
      <c r="D141" s="8" t="n">
        <f aca="false">(SQRT($D$114^2 + $D$117^2 + $D$116^2 + 2*$D$114*$D$117 + 2*$D$117*$C$119 - 2*($D$116 + C141)*($D$114 + $C$119 + $D$117) + 2*COS(RADIANS(180-B141))*SQRT($C$119^2 + 2*$D$114*$C$119)*SQRT(C141^2 + 2*$D$116*C141)) - $D$115) * 1000</f>
        <v>6918.4166041523</v>
      </c>
    </row>
    <row r="142" customFormat="false" ht="12.8" hidden="false" customHeight="false" outlineLevel="0" collapsed="false">
      <c r="B142" s="8"/>
      <c r="C142" s="8" t="n">
        <v>5</v>
      </c>
      <c r="D142" s="8" t="n">
        <f aca="false">(SQRT($D$114^2 + $D$117^2 + $D$116^2 + 2*$D$114*$D$117 + 2*$D$117*$C$119 - 2*($D$116 + C142)*($D$114 + $C$119 + $D$117) + 2*COS(RADIANS(180-B142))*SQRT($C$119^2 + 2*$D$114*$C$119)*SQRT(C142^2 + 2*$D$116*C142)) - $D$115) * 1000</f>
        <v>-5361.28993425518</v>
      </c>
    </row>
    <row r="143" customFormat="false" ht="12.8" hidden="false" customHeight="false" outlineLevel="0" collapsed="false">
      <c r="B143" s="8"/>
      <c r="C143" s="8" t="n">
        <v>2.6</v>
      </c>
      <c r="D143" s="8" t="n">
        <f aca="false">(SQRT($D$114^2 + $D$117^2 + $D$116^2 + 2*$D$114*$D$117 + 2*$D$117*$C$119 - 2*($D$116 + C143)*($D$114 + $C$119 + $D$117) + 2*COS(RADIANS(180-B143))*SQRT($C$119^2 + 2*$D$114*$C$119)*SQRT(C143^2 + 2*$D$116*C143)) - $D$115) * 1000</f>
        <v>889.850250216114</v>
      </c>
    </row>
    <row r="144" customFormat="false" ht="12.8" hidden="false" customHeight="false" outlineLevel="0" collapsed="false">
      <c r="B144" s="8" t="n">
        <v>31.6</v>
      </c>
      <c r="C144" s="8" t="n">
        <v>1</v>
      </c>
      <c r="D144" s="8" t="n">
        <f aca="false">(SQRT($D$114^2 + $D$117^2 + $D$116^2 + 2*$D$114*$D$117 + 2*$D$117*$C$119 - 2*($D$116 + C144)*($D$114 + $C$119 + $D$117) + 2*COS(RADIANS(180-B144))*SQRT($C$119^2 + 2*$D$114*$C$119)*SQRT(C144^2 + 2*$D$116*C144)) - $D$115) * 1000</f>
        <v>6988.73632012692</v>
      </c>
    </row>
    <row r="145" customFormat="false" ht="12.8" hidden="false" customHeight="false" outlineLevel="0" collapsed="false">
      <c r="B145" s="8"/>
      <c r="C145" s="8" t="n">
        <v>5</v>
      </c>
      <c r="D145" s="8" t="n">
        <f aca="false">(SQRT($D$114^2 + $D$117^2 + $D$116^2 + 2*$D$114*$D$117 + 2*$D$117*$C$119 - 2*($D$116 + C145)*($D$114 + $C$119 + $D$117) + 2*COS(RADIANS(180-B145))*SQRT($C$119^2 + 2*$D$114*$C$119)*SQRT(C145^2 + 2*$D$116*C145)) - $D$115) * 1000</f>
        <v>-5361.28993425518</v>
      </c>
    </row>
    <row r="146" customFormat="false" ht="12.8" hidden="false" customHeight="false" outlineLevel="0" collapsed="false">
      <c r="B146" s="8"/>
      <c r="C146" s="8" t="n">
        <v>2.6</v>
      </c>
      <c r="D146" s="8" t="n">
        <f aca="false">(SQRT($D$114^2 + $D$117^2 + $D$116^2 + 2*$D$114*$D$117 + 2*$D$117*$C$119 - 2*($D$116 + C146)*($D$114 + $C$119 + $D$117) + 2*COS(RADIANS(180-B146))*SQRT($C$119^2 + 2*$D$114*$C$119)*SQRT(C146^2 + 2*$D$116*C146)) - $D$115) * 1000</f>
        <v>889.850250216114</v>
      </c>
    </row>
    <row r="147" customFormat="false" ht="12.8" hidden="false" customHeight="false" outlineLevel="0" collapsed="false">
      <c r="B147" s="8" t="n">
        <v>33</v>
      </c>
      <c r="C147" s="8" t="n">
        <v>1</v>
      </c>
      <c r="D147" s="8" t="n">
        <f aca="false">(SQRT($D$114^2 + $D$117^2 + $D$116^2 + 2*$D$114*$D$117 + 2*$D$117*$C$119 - 2*($D$116 + C147)*($D$114 + $C$119 + $D$117) + 2*COS(RADIANS(180-B147))*SQRT($C$119^2 + 2*$D$114*$C$119)*SQRT(C147^2 + 2*$D$116*C147)) - $D$115) * 1000</f>
        <v>7061.90545215941</v>
      </c>
    </row>
    <row r="148" customFormat="false" ht="12.8" hidden="false" customHeight="false" outlineLevel="0" collapsed="false">
      <c r="B148" s="8"/>
      <c r="C148" s="8" t="n">
        <v>5</v>
      </c>
      <c r="D148" s="8" t="n">
        <f aca="false">(SQRT($D$114^2 + $D$117^2 + $D$116^2 + 2*$D$114*$D$117 + 2*$D$117*$C$119 - 2*($D$116 + C148)*($D$114 + $C$119 + $D$117) + 2*COS(RADIANS(180-B148))*SQRT($C$119^2 + 2*$D$114*$C$119)*SQRT(C148^2 + 2*$D$116*C148)) - $D$115) * 1000</f>
        <v>-5361.28993425518</v>
      </c>
    </row>
    <row r="149" customFormat="false" ht="12.8" hidden="false" customHeight="false" outlineLevel="0" collapsed="false">
      <c r="B149" s="8"/>
      <c r="C149" s="8" t="n">
        <v>2.6</v>
      </c>
      <c r="D149" s="8" t="n">
        <f aca="false">(SQRT($D$114^2 + $D$117^2 + $D$116^2 + 2*$D$114*$D$117 + 2*$D$117*$C$119 - 2*($D$116 + C149)*($D$114 + $C$119 + $D$117) + 2*COS(RADIANS(180-B149))*SQRT($C$119^2 + 2*$D$114*$C$119)*SQRT(C149^2 + 2*$D$116*C149)) - $D$115) * 1000</f>
        <v>889.850250216114</v>
      </c>
    </row>
    <row r="150" customFormat="false" ht="12.8" hidden="false" customHeight="false" outlineLevel="0" collapsed="false">
      <c r="B150" s="8" t="n">
        <v>34.3</v>
      </c>
      <c r="C150" s="8" t="n">
        <v>1</v>
      </c>
      <c r="D150" s="8" t="n">
        <f aca="false">(SQRT($D$114^2 + $D$117^2 + $D$116^2 + 2*$D$114*$D$117 + 2*$D$117*$C$119 - 2*($D$116 + C150)*($D$114 + $C$119 + $D$117) + 2*COS(RADIANS(180-B150))*SQRT($C$119^2 + 2*$D$114*$C$119)*SQRT(C150^2 + 2*$D$116*C150)) - $D$115) * 1000</f>
        <v>7132.36142331152</v>
      </c>
    </row>
    <row r="151" customFormat="false" ht="12.8" hidden="false" customHeight="false" outlineLevel="0" collapsed="false">
      <c r="B151" s="8"/>
      <c r="C151" s="8" t="n">
        <v>5</v>
      </c>
      <c r="D151" s="8" t="n">
        <f aca="false">(SQRT($D$114^2 + $D$117^2 + $D$116^2 + 2*$D$114*$D$117 + 2*$D$117*$C$119 - 2*($D$116 + C151)*($D$114 + $C$119 + $D$117) + 2*COS(RADIANS(180-B151))*SQRT($C$119^2 + 2*$D$114*$C$119)*SQRT(C151^2 + 2*$D$116*C151)) - $D$115) * 1000</f>
        <v>-5361.28993425518</v>
      </c>
    </row>
    <row r="152" customFormat="false" ht="12.8" hidden="false" customHeight="false" outlineLevel="0" collapsed="false">
      <c r="B152" s="8"/>
      <c r="C152" s="8" t="n">
        <v>2.6</v>
      </c>
      <c r="D152" s="8" t="n">
        <f aca="false">(SQRT($D$114^2 + $D$117^2 + $D$116^2 + 2*$D$114*$D$117 + 2*$D$117*$C$119 - 2*($D$116 + C152)*($D$114 + $C$119 + $D$117) + 2*COS(RADIANS(180-B152))*SQRT($C$119^2 + 2*$D$114*$C$119)*SQRT(C152^2 + 2*$D$116*C152)) - $D$115) * 1000</f>
        <v>889.850250216114</v>
      </c>
    </row>
    <row r="153" customFormat="false" ht="12.8" hidden="false" customHeight="false" outlineLevel="0" collapsed="false">
      <c r="B153" s="8" t="n">
        <v>35.6</v>
      </c>
      <c r="C153" s="8" t="n">
        <v>1</v>
      </c>
      <c r="D153" s="8" t="n">
        <f aca="false">(SQRT($D$114^2 + $D$117^2 + $D$116^2 + 2*$D$114*$D$117 + 2*$D$117*$C$119 - 2*($D$116 + C153)*($D$114 + $C$119 + $D$117) + 2*COS(RADIANS(180-B153))*SQRT($C$119^2 + 2*$D$114*$C$119)*SQRT(C153^2 + 2*$D$116*C153)) - $D$115) * 1000</f>
        <v>7205.20031696287</v>
      </c>
    </row>
    <row r="154" customFormat="false" ht="12.8" hidden="false" customHeight="false" outlineLevel="0" collapsed="false">
      <c r="B154" s="8"/>
      <c r="C154" s="8" t="n">
        <v>5</v>
      </c>
      <c r="D154" s="8" t="n">
        <f aca="false">(SQRT($D$114^2 + $D$117^2 + $D$116^2 + 2*$D$114*$D$117 + 2*$D$117*$C$119 - 2*($D$116 + C154)*($D$114 + $C$119 + $D$117) + 2*COS(RADIANS(180-B154))*SQRT($C$119^2 + 2*$D$114*$C$119)*SQRT(C154^2 + 2*$D$116*C154)) - $D$115) * 1000</f>
        <v>-5361.28993425518</v>
      </c>
    </row>
    <row r="155" customFormat="false" ht="12.8" hidden="false" customHeight="false" outlineLevel="0" collapsed="false">
      <c r="B155" s="8"/>
      <c r="C155" s="8" t="n">
        <v>2.6</v>
      </c>
      <c r="D155" s="8" t="n">
        <f aca="false">(SQRT($D$114^2 + $D$117^2 + $D$116^2 + 2*$D$114*$D$117 + 2*$D$117*$C$119 - 2*($D$116 + C155)*($D$114 + $C$119 + $D$117) + 2*COS(RADIANS(180-B155))*SQRT($C$119^2 + 2*$D$114*$C$119)*SQRT(C155^2 + 2*$D$116*C155)) - $D$115) * 1000</f>
        <v>889.850250216114</v>
      </c>
    </row>
    <row r="156" customFormat="false" ht="12.8" hidden="false" customHeight="false" outlineLevel="0" collapsed="false">
      <c r="B156" s="8" t="n">
        <v>36.9</v>
      </c>
      <c r="C156" s="8" t="n">
        <v>1</v>
      </c>
      <c r="D156" s="8" t="n">
        <f aca="false">(SQRT($D$114^2 + $D$117^2 + $D$116^2 + 2*$D$114*$D$117 + 2*$D$117*$C$119 - 2*($D$116 + C156)*($D$114 + $C$119 + $D$117) + 2*COS(RADIANS(180-B156))*SQRT($C$119^2 + 2*$D$114*$C$119)*SQRT(C156^2 + 2*$D$116*C156)) - $D$115) * 1000</f>
        <v>7280.38461062533</v>
      </c>
    </row>
    <row r="157" customFormat="false" ht="12.8" hidden="false" customHeight="false" outlineLevel="0" collapsed="false">
      <c r="B157" s="8"/>
      <c r="C157" s="8" t="n">
        <v>5</v>
      </c>
      <c r="D157" s="8" t="n">
        <f aca="false">(SQRT($D$114^2 + $D$117^2 + $D$116^2 + 2*$D$114*$D$117 + 2*$D$117*$C$119 - 2*($D$116 + C157)*($D$114 + $C$119 + $D$117) + 2*COS(RADIANS(180-B157))*SQRT($C$119^2 + 2*$D$114*$C$119)*SQRT(C157^2 + 2*$D$116*C157)) - $D$115) * 1000</f>
        <v>-5361.28993425518</v>
      </c>
    </row>
    <row r="158" customFormat="false" ht="12.8" hidden="false" customHeight="false" outlineLevel="0" collapsed="false">
      <c r="B158" s="8"/>
      <c r="C158" s="8" t="n">
        <v>2.6</v>
      </c>
      <c r="D158" s="8" t="n">
        <f aca="false">(SQRT($D$114^2 + $D$117^2 + $D$116^2 + 2*$D$114*$D$117 + 2*$D$117*$C$119 - 2*($D$116 + C158)*($D$114 + $C$119 + $D$117) + 2*COS(RADIANS(180-B158))*SQRT($C$119^2 + 2*$D$114*$C$119)*SQRT(C158^2 + 2*$D$116*C158)) - $D$115) * 1000</f>
        <v>889.850250216114</v>
      </c>
    </row>
    <row r="159" customFormat="false" ht="12.8" hidden="false" customHeight="false" outlineLevel="0" collapsed="false">
      <c r="B159" s="8" t="n">
        <v>38.1</v>
      </c>
      <c r="C159" s="8" t="n">
        <v>1</v>
      </c>
      <c r="D159" s="8" t="n">
        <f aca="false">(SQRT($D$114^2 + $D$117^2 + $D$116^2 + 2*$D$114*$D$117 + 2*$D$117*$C$119 - 2*($D$116 + C159)*($D$114 + $C$119 + $D$117) + 2*COS(RADIANS(180-B159))*SQRT($C$119^2 + 2*$D$114*$C$119)*SQRT(C159^2 + 2*$D$116*C159)) - $D$115) * 1000</f>
        <v>7351.83373833934</v>
      </c>
    </row>
    <row r="160" customFormat="false" ht="12.8" hidden="false" customHeight="false" outlineLevel="0" collapsed="false">
      <c r="B160" s="8"/>
      <c r="C160" s="8" t="n">
        <v>5</v>
      </c>
      <c r="D160" s="8" t="n">
        <f aca="false">(SQRT($D$114^2 + $D$117^2 + $D$116^2 + 2*$D$114*$D$117 + 2*$D$117*$C$119 - 2*($D$116 + C160)*($D$114 + $C$119 + $D$117) + 2*COS(RADIANS(180-B160))*SQRT($C$119^2 + 2*$D$114*$C$119)*SQRT(C160^2 + 2*$D$116*C160)) - $D$115) * 1000</f>
        <v>-5361.28993425518</v>
      </c>
    </row>
    <row r="161" customFormat="false" ht="12.8" hidden="false" customHeight="false" outlineLevel="0" collapsed="false">
      <c r="B161" s="8"/>
      <c r="C161" s="8" t="n">
        <v>2.6</v>
      </c>
      <c r="D161" s="8" t="n">
        <f aca="false">(SQRT($D$114^2 + $D$117^2 + $D$116^2 + 2*$D$114*$D$117 + 2*$D$117*$C$119 - 2*($D$116 + C161)*($D$114 + $C$119 + $D$117) + 2*COS(RADIANS(180-B161))*SQRT($C$119^2 + 2*$D$114*$C$119)*SQRT(C161^2 + 2*$D$116*C161)) - $D$115) * 1000</f>
        <v>889.850250216114</v>
      </c>
    </row>
    <row r="162" customFormat="false" ht="12.8" hidden="false" customHeight="false" outlineLevel="0" collapsed="false">
      <c r="B162" s="8" t="n">
        <v>39.2</v>
      </c>
      <c r="C162" s="8" t="n">
        <v>1</v>
      </c>
      <c r="D162" s="8" t="n">
        <f aca="false">(SQRT($D$114^2 + $D$117^2 + $D$116^2 + 2*$D$114*$D$117 + 2*$D$117*$C$119 - 2*($D$116 + C162)*($D$114 + $C$119 + $D$117) + 2*COS(RADIANS(180-B162))*SQRT($C$119^2 + 2*$D$114*$C$119)*SQRT(C162^2 + 2*$D$116*C162)) - $D$115) * 1000</f>
        <v>7419.02860349728</v>
      </c>
    </row>
    <row r="163" customFormat="false" ht="12.8" hidden="false" customHeight="false" outlineLevel="0" collapsed="false">
      <c r="B163" s="8"/>
      <c r="C163" s="8" t="n">
        <v>5</v>
      </c>
      <c r="D163" s="8" t="n">
        <f aca="false">(SQRT($D$114^2 + $D$117^2 + $D$116^2 + 2*$D$114*$D$117 + 2*$D$117*$C$119 - 2*($D$116 + C163)*($D$114 + $C$119 + $D$117) + 2*COS(RADIANS(180-B163))*SQRT($C$119^2 + 2*$D$114*$C$119)*SQRT(C163^2 + 2*$D$116*C163)) - $D$115) * 1000</f>
        <v>-5361.28993425518</v>
      </c>
    </row>
    <row r="164" customFormat="false" ht="12.8" hidden="false" customHeight="false" outlineLevel="0" collapsed="false">
      <c r="B164" s="8"/>
      <c r="C164" s="8" t="n">
        <v>2.6</v>
      </c>
      <c r="D164" s="8" t="n">
        <f aca="false">(SQRT($D$114^2 + $D$117^2 + $D$116^2 + 2*$D$114*$D$117 + 2*$D$117*$C$119 - 2*($D$116 + C164)*($D$114 + $C$119 + $D$117) + 2*COS(RADIANS(180-B164))*SQRT($C$119^2 + 2*$D$114*$C$119)*SQRT(C164^2 + 2*$D$116*C164)) - $D$115) * 1000</f>
        <v>889.850250216114</v>
      </c>
    </row>
    <row r="165" customFormat="false" ht="12.8" hidden="false" customHeight="false" outlineLevel="0" collapsed="false">
      <c r="B165" s="8" t="n">
        <v>40.3</v>
      </c>
      <c r="C165" s="8" t="n">
        <v>1</v>
      </c>
      <c r="D165" s="8" t="n">
        <f aca="false">(SQRT($D$114^2 + $D$117^2 + $D$116^2 + 2*$D$114*$D$117 + 2*$D$117*$C$119 - 2*($D$116 + C165)*($D$114 + $C$119 + $D$117) + 2*COS(RADIANS(180-B165))*SQRT($C$119^2 + 2*$D$114*$C$119)*SQRT(C165^2 + 2*$D$116*C165)) - $D$115) * 1000</f>
        <v>7487.82387434403</v>
      </c>
    </row>
    <row r="166" customFormat="false" ht="12.8" hidden="false" customHeight="false" outlineLevel="0" collapsed="false">
      <c r="B166" s="8"/>
      <c r="C166" s="8" t="n">
        <v>5</v>
      </c>
      <c r="D166" s="8" t="n">
        <f aca="false">(SQRT($D$114^2 + $D$117^2 + $D$116^2 + 2*$D$114*$D$117 + 2*$D$117*$C$119 - 2*($D$116 + C166)*($D$114 + $C$119 + $D$117) + 2*COS(RADIANS(180-B166))*SQRT($C$119^2 + 2*$D$114*$C$119)*SQRT(C166^2 + 2*$D$116*C166)) - $D$115) * 1000</f>
        <v>-5361.28993425518</v>
      </c>
    </row>
    <row r="167" customFormat="false" ht="12.8" hidden="false" customHeight="false" outlineLevel="0" collapsed="false">
      <c r="B167" s="8"/>
      <c r="C167" s="8" t="n">
        <v>2.6</v>
      </c>
      <c r="D167" s="8" t="n">
        <f aca="false">(SQRT($D$114^2 + $D$117^2 + $D$116^2 + 2*$D$114*$D$117 + 2*$D$117*$C$119 - 2*($D$116 + C167)*($D$114 + $C$119 + $D$117) + 2*COS(RADIANS(180-B167))*SQRT($C$119^2 + 2*$D$114*$C$119)*SQRT(C167^2 + 2*$D$116*C167)) - $D$115) * 1000</f>
        <v>889.850250216114</v>
      </c>
    </row>
    <row r="168" customFormat="false" ht="12.8" hidden="false" customHeight="false" outlineLevel="0" collapsed="false">
      <c r="B168" s="8" t="n">
        <v>41.4</v>
      </c>
      <c r="C168" s="8" t="n">
        <v>1</v>
      </c>
      <c r="D168" s="8" t="n">
        <f aca="false">(SQRT($D$114^2 + $D$117^2 + $D$116^2 + 2*$D$114*$D$117 + 2*$D$117*$C$119 - 2*($D$116 + C168)*($D$114 + $C$119 + $D$117) + 2*COS(RADIANS(180-B168))*SQRT($C$119^2 + 2*$D$114*$C$119)*SQRT(C168^2 + 2*$D$116*C168)) - $D$115) * 1000</f>
        <v>7558.19417786915</v>
      </c>
    </row>
    <row r="169" customFormat="false" ht="12.8" hidden="false" customHeight="false" outlineLevel="0" collapsed="false">
      <c r="B169" s="8"/>
      <c r="C169" s="8" t="n">
        <v>5</v>
      </c>
      <c r="D169" s="8" t="n">
        <f aca="false">(SQRT($D$114^2 + $D$117^2 + $D$116^2 + 2*$D$114*$D$117 + 2*$D$117*$C$119 - 2*($D$116 + C169)*($D$114 + $C$119 + $D$117) + 2*COS(RADIANS(180-B169))*SQRT($C$119^2 + 2*$D$114*$C$119)*SQRT(C169^2 + 2*$D$116*C169)) - $D$115) * 1000</f>
        <v>-5361.28993425518</v>
      </c>
    </row>
    <row r="170" customFormat="false" ht="12.8" hidden="false" customHeight="false" outlineLevel="0" collapsed="false">
      <c r="B170" s="8"/>
      <c r="C170" s="8" t="n">
        <v>2.6</v>
      </c>
      <c r="D170" s="8" t="n">
        <f aca="false">(SQRT($D$114^2 + $D$117^2 + $D$116^2 + 2*$D$114*$D$117 + 2*$D$117*$C$119 - 2*($D$116 + C170)*($D$114 + $C$119 + $D$117) + 2*COS(RADIANS(180-B170))*SQRT($C$119^2 + 2*$D$114*$C$119)*SQRT(C170^2 + 2*$D$116*C170)) - $D$115) * 1000</f>
        <v>889.850250216114</v>
      </c>
    </row>
    <row r="171" customFormat="false" ht="12.8" hidden="false" customHeight="false" outlineLevel="0" collapsed="false">
      <c r="B171" s="8" t="n">
        <v>42.5</v>
      </c>
      <c r="C171" s="8" t="n">
        <v>1</v>
      </c>
      <c r="D171" s="8" t="n">
        <f aca="false">(SQRT($D$114^2 + $D$117^2 + $D$116^2 + 2*$D$114*$D$117 + 2*$D$117*$C$119 - 2*($D$116 + C171)*($D$114 + $C$119 + $D$117) + 2*COS(RADIANS(180-B171))*SQRT($C$119^2 + 2*$D$114*$C$119)*SQRT(C171^2 + 2*$D$116*C171)) - $D$115) * 1000</f>
        <v>7630.11356043353</v>
      </c>
    </row>
    <row r="172" customFormat="false" ht="12.8" hidden="false" customHeight="false" outlineLevel="0" collapsed="false">
      <c r="B172" s="8"/>
      <c r="C172" s="8" t="n">
        <v>5</v>
      </c>
      <c r="D172" s="8" t="n">
        <f aca="false">(SQRT($D$114^2 + $D$117^2 + $D$116^2 + 2*$D$114*$D$117 + 2*$D$117*$C$119 - 2*($D$116 + C172)*($D$114 + $C$119 + $D$117) + 2*COS(RADIANS(180-B172))*SQRT($C$119^2 + 2*$D$114*$C$119)*SQRT(C172^2 + 2*$D$116*C172)) - $D$115) * 1000</f>
        <v>-5361.28993425518</v>
      </c>
    </row>
    <row r="173" customFormat="false" ht="12.8" hidden="false" customHeight="false" outlineLevel="0" collapsed="false">
      <c r="B173" s="8"/>
      <c r="C173" s="8" t="n">
        <v>2.6</v>
      </c>
      <c r="D173" s="8" t="n">
        <f aca="false">(SQRT($D$114^2 + $D$117^2 + $D$116^2 + 2*$D$114*$D$117 + 2*$D$117*$C$119 - 2*($D$116 + C173)*($D$114 + $C$119 + $D$117) + 2*COS(RADIANS(180-B173))*SQRT($C$119^2 + 2*$D$114*$C$119)*SQRT(C173^2 + 2*$D$116*C173)) - $D$115) * 1000</f>
        <v>889.850250216114</v>
      </c>
    </row>
    <row r="174" customFormat="false" ht="12.8" hidden="false" customHeight="false" outlineLevel="0" collapsed="false">
      <c r="B174" s="8" t="n">
        <v>43.5</v>
      </c>
      <c r="C174" s="8" t="n">
        <v>1</v>
      </c>
      <c r="D174" s="8" t="n">
        <f aca="false">(SQRT($D$114^2 + $D$117^2 + $D$116^2 + 2*$D$114*$D$117 + 2*$D$117*$C$119 - 2*($D$116 + C174)*($D$114 + $C$119 + $D$117) + 2*COS(RADIANS(180-B174))*SQRT($C$119^2 + 2*$D$114*$C$119)*SQRT(C174^2 + 2*$D$116*C174)) - $D$115) * 1000</f>
        <v>7696.81675044194</v>
      </c>
    </row>
    <row r="175" customFormat="false" ht="12.8" hidden="false" customHeight="false" outlineLevel="0" collapsed="false">
      <c r="B175" s="8"/>
      <c r="C175" s="8" t="n">
        <v>5</v>
      </c>
      <c r="D175" s="8" t="n">
        <f aca="false">(SQRT($D$114^2 + $D$117^2 + $D$116^2 + 2*$D$114*$D$117 + 2*$D$117*$C$119 - 2*($D$116 + C175)*($D$114 + $C$119 + $D$117) + 2*COS(RADIANS(180-B175))*SQRT($C$119^2 + 2*$D$114*$C$119)*SQRT(C175^2 + 2*$D$116*C175)) - $D$115) * 1000</f>
        <v>-5361.28993425518</v>
      </c>
    </row>
    <row r="176" customFormat="false" ht="12.8" hidden="false" customHeight="false" outlineLevel="0" collapsed="false">
      <c r="B176" s="8"/>
      <c r="C176" s="8" t="n">
        <v>2.6</v>
      </c>
      <c r="D176" s="8" t="n">
        <f aca="false">(SQRT($D$114^2 + $D$117^2 + $D$116^2 + 2*$D$114*$D$117 + 2*$D$117*$C$119 - 2*($D$116 + C176)*($D$114 + $C$119 + $D$117) + 2*COS(RADIANS(180-B176))*SQRT($C$119^2 + 2*$D$114*$C$119)*SQRT(C176^2 + 2*$D$116*C176)) - $D$115) * 1000</f>
        <v>889.850250216114</v>
      </c>
    </row>
    <row r="177" customFormat="false" ht="12.8" hidden="false" customHeight="false" outlineLevel="0" collapsed="false">
      <c r="B177" s="8" t="n">
        <v>44.5</v>
      </c>
      <c r="C177" s="8" t="n">
        <v>1</v>
      </c>
      <c r="D177" s="8" t="n">
        <f aca="false">(SQRT($D$114^2 + $D$117^2 + $D$116^2 + 2*$D$114*$D$117 + 2*$D$117*$C$119 - 2*($D$116 + C177)*($D$114 + $C$119 + $D$117) + 2*COS(RADIANS(180-B177))*SQRT($C$119^2 + 2*$D$114*$C$119)*SQRT(C177^2 + 2*$D$116*C177)) - $D$115) * 1000</f>
        <v>7764.75792535348</v>
      </c>
    </row>
    <row r="178" customFormat="false" ht="12.8" hidden="false" customHeight="false" outlineLevel="0" collapsed="false">
      <c r="B178" s="8"/>
      <c r="C178" s="8" t="n">
        <v>5</v>
      </c>
      <c r="D178" s="8" t="n">
        <f aca="false">(SQRT($D$114^2 + $D$117^2 + $D$116^2 + 2*$D$114*$D$117 + 2*$D$117*$C$119 - 2*($D$116 + C178)*($D$114 + $C$119 + $D$117) + 2*COS(RADIANS(180-B178))*SQRT($C$119^2 + 2*$D$114*$C$119)*SQRT(C178^2 + 2*$D$116*C178)) - $D$115) * 1000</f>
        <v>-5361.28993425518</v>
      </c>
    </row>
    <row r="179" customFormat="false" ht="12.8" hidden="false" customHeight="false" outlineLevel="0" collapsed="false">
      <c r="B179" s="8"/>
      <c r="C179" s="8" t="n">
        <v>2.6</v>
      </c>
      <c r="D179" s="8" t="n">
        <f aca="false">(SQRT($D$114^2 + $D$117^2 + $D$116^2 + 2*$D$114*$D$117 + 2*$D$117*$C$119 - 2*($D$116 + C179)*($D$114 + $C$119 + $D$117) + 2*COS(RADIANS(180-B179))*SQRT($C$119^2 + 2*$D$114*$C$119)*SQRT(C179^2 + 2*$D$116*C179)) - $D$115) * 1000</f>
        <v>889.850250216114</v>
      </c>
    </row>
    <row r="180" customFormat="false" ht="12.8" hidden="false" customHeight="false" outlineLevel="0" collapsed="false">
      <c r="B180" s="8" t="n">
        <v>45.4</v>
      </c>
      <c r="C180" s="8" t="n">
        <v>1</v>
      </c>
      <c r="D180" s="8" t="n">
        <f aca="false">(SQRT($D$114^2 + $D$117^2 + $D$116^2 + 2*$D$114*$D$117 + 2*$D$117*$C$119 - 2*($D$116 + C180)*($D$114 + $C$119 + $D$117) + 2*COS(RADIANS(180-B180))*SQRT($C$119^2 + 2*$D$114*$C$119)*SQRT(C180^2 + 2*$D$116*C180)) - $D$115) * 1000</f>
        <v>7826.94635212465</v>
      </c>
    </row>
    <row r="181" customFormat="false" ht="12.8" hidden="false" customHeight="false" outlineLevel="0" collapsed="false">
      <c r="B181" s="8"/>
      <c r="C181" s="8" t="n">
        <v>5</v>
      </c>
      <c r="D181" s="8" t="n">
        <f aca="false">(SQRT($D$114^2 + $D$117^2 + $D$116^2 + 2*$D$114*$D$117 + 2*$D$117*$C$119 - 2*($D$116 + C181)*($D$114 + $C$119 + $D$117) + 2*COS(RADIANS(180-B181))*SQRT($C$119^2 + 2*$D$114*$C$119)*SQRT(C181^2 + 2*$D$116*C181)) - $D$115) * 1000</f>
        <v>-5361.28993425518</v>
      </c>
    </row>
    <row r="182" customFormat="false" ht="12.8" hidden="false" customHeight="false" outlineLevel="0" collapsed="false">
      <c r="B182" s="8"/>
      <c r="C182" s="8" t="n">
        <v>2.6</v>
      </c>
      <c r="D182" s="8" t="n">
        <f aca="false">(SQRT($D$114^2 + $D$117^2 + $D$116^2 + 2*$D$114*$D$117 + 2*$D$117*$C$119 - 2*($D$116 + C182)*($D$114 + $C$119 + $D$117) + 2*COS(RADIANS(180-B182))*SQRT($C$119^2 + 2*$D$114*$C$119)*SQRT(C182^2 + 2*$D$116*C182)) - $D$115) * 1000</f>
        <v>889.850250216114</v>
      </c>
    </row>
    <row r="183" customFormat="false" ht="12.8" hidden="false" customHeight="false" outlineLevel="0" collapsed="false">
      <c r="B183" s="8" t="n">
        <v>46.3</v>
      </c>
      <c r="C183" s="8" t="n">
        <v>1</v>
      </c>
      <c r="D183" s="8" t="n">
        <f aca="false">(SQRT($D$114^2 + $D$117^2 + $D$116^2 + 2*$D$114*$D$117 + 2*$D$117*$C$119 - 2*($D$116 + C183)*($D$114 + $C$119 + $D$117) + 2*COS(RADIANS(180-B183))*SQRT($C$119^2 + 2*$D$114*$C$119)*SQRT(C183^2 + 2*$D$116*C183)) - $D$115) * 1000</f>
        <v>7890.10542429242</v>
      </c>
    </row>
    <row r="184" customFormat="false" ht="12.8" hidden="false" customHeight="false" outlineLevel="0" collapsed="false">
      <c r="B184" s="8"/>
      <c r="C184" s="8" t="n">
        <v>5</v>
      </c>
      <c r="D184" s="8" t="n">
        <f aca="false">(SQRT($D$114^2 + $D$117^2 + $D$116^2 + 2*$D$114*$D$117 + 2*$D$117*$C$119 - 2*($D$116 + C184)*($D$114 + $C$119 + $D$117) + 2*COS(RADIANS(180-B184))*SQRT($C$119^2 + 2*$D$114*$C$119)*SQRT(C184^2 + 2*$D$116*C184)) - $D$115) * 1000</f>
        <v>-5361.28993425518</v>
      </c>
    </row>
    <row r="185" customFormat="false" ht="12.8" hidden="false" customHeight="false" outlineLevel="0" collapsed="false">
      <c r="B185" s="8"/>
      <c r="C185" s="8" t="n">
        <v>2.6</v>
      </c>
      <c r="D185" s="8" t="n">
        <f aca="false">(SQRT($D$114^2 + $D$117^2 + $D$116^2 + 2*$D$114*$D$117 + 2*$D$117*$C$119 - 2*($D$116 + C185)*($D$114 + $C$119 + $D$117) + 2*COS(RADIANS(180-B185))*SQRT($C$119^2 + 2*$D$114*$C$119)*SQRT(C185^2 + 2*$D$116*C185)) - $D$115) * 1000</f>
        <v>889.850250216114</v>
      </c>
    </row>
    <row r="186" customFormat="false" ht="12.8" hidden="false" customHeight="false" outlineLevel="0" collapsed="false">
      <c r="B186" s="8" t="n">
        <v>47.2</v>
      </c>
      <c r="C186" s="8" t="n">
        <v>1</v>
      </c>
      <c r="D186" s="8" t="n">
        <f aca="false">(SQRT($D$114^2 + $D$117^2 + $D$116^2 + 2*$D$114*$D$117 + 2*$D$117*$C$119 - 2*($D$116 + C186)*($D$114 + $C$119 + $D$117) + 2*COS(RADIANS(180-B186))*SQRT($C$119^2 + 2*$D$114*$C$119)*SQRT(C186^2 + 2*$D$116*C186)) - $D$115) * 1000</f>
        <v>7954.21954897756</v>
      </c>
    </row>
    <row r="187" customFormat="false" ht="12.8" hidden="false" customHeight="false" outlineLevel="0" collapsed="false">
      <c r="B187" s="8"/>
      <c r="C187" s="8" t="n">
        <v>5</v>
      </c>
      <c r="D187" s="8" t="n">
        <f aca="false">(SQRT($D$114^2 + $D$117^2 + $D$116^2 + 2*$D$114*$D$117 + 2*$D$117*$C$119 - 2*($D$116 + C187)*($D$114 + $C$119 + $D$117) + 2*COS(RADIANS(180-B187))*SQRT($C$119^2 + 2*$D$114*$C$119)*SQRT(C187^2 + 2*$D$116*C187)) - $D$115) * 1000</f>
        <v>-5361.28993425518</v>
      </c>
    </row>
    <row r="188" customFormat="false" ht="12.8" hidden="false" customHeight="false" outlineLevel="0" collapsed="false">
      <c r="B188" s="8"/>
      <c r="C188" s="8" t="n">
        <v>2.6</v>
      </c>
      <c r="D188" s="8" t="n">
        <f aca="false">(SQRT($D$114^2 + $D$117^2 + $D$116^2 + 2*$D$114*$D$117 + 2*$D$117*$C$119 - 2*($D$116 + C188)*($D$114 + $C$119 + $D$117) + 2*COS(RADIANS(180-B188))*SQRT($C$119^2 + 2*$D$114*$C$119)*SQRT(C188^2 + 2*$D$116*C188)) - $D$115) * 1000</f>
        <v>889.850250216114</v>
      </c>
    </row>
    <row r="189" customFormat="false" ht="12.8" hidden="false" customHeight="false" outlineLevel="0" collapsed="false">
      <c r="B189" s="8" t="n">
        <v>48.1</v>
      </c>
      <c r="C189" s="8" t="n">
        <v>1</v>
      </c>
      <c r="D189" s="8" t="n">
        <f aca="false">(SQRT($D$114^2 + $D$117^2 + $D$116^2 + 2*$D$114*$D$117 + 2*$D$117*$C$119 - 2*($D$116 + C189)*($D$114 + $C$119 + $D$117) + 2*COS(RADIANS(180-B189))*SQRT($C$119^2 + 2*$D$114*$C$119)*SQRT(C189^2 + 2*$D$116*C189)) - $D$115) * 1000</f>
        <v>8019.27289766536</v>
      </c>
    </row>
    <row r="190" customFormat="false" ht="12.8" hidden="false" customHeight="false" outlineLevel="0" collapsed="false">
      <c r="B190" s="8"/>
      <c r="C190" s="8" t="n">
        <v>5</v>
      </c>
      <c r="D190" s="8" t="n">
        <f aca="false">(SQRT($D$114^2 + $D$117^2 + $D$116^2 + 2*$D$114*$D$117 + 2*$D$117*$C$119 - 2*($D$116 + C190)*($D$114 + $C$119 + $D$117) + 2*COS(RADIANS(180-B190))*SQRT($C$119^2 + 2*$D$114*$C$119)*SQRT(C190^2 + 2*$D$116*C190)) - $D$115) * 1000</f>
        <v>-5361.28993425518</v>
      </c>
    </row>
    <row r="191" customFormat="false" ht="12.8" hidden="false" customHeight="false" outlineLevel="0" collapsed="false">
      <c r="B191" s="8"/>
      <c r="C191" s="8" t="n">
        <v>2.6</v>
      </c>
      <c r="D191" s="8" t="n">
        <f aca="false">(SQRT($D$114^2 + $D$117^2 + $D$116^2 + 2*$D$114*$D$117 + 2*$D$117*$C$119 - 2*($D$116 + C191)*($D$114 + $C$119 + $D$117) + 2*COS(RADIANS(180-B191))*SQRT($C$119^2 + 2*$D$114*$C$119)*SQRT(C191^2 + 2*$D$116*C191)) - $D$115) * 1000</f>
        <v>889.850250216114</v>
      </c>
    </row>
    <row r="192" customFormat="false" ht="12.8" hidden="false" customHeight="false" outlineLevel="0" collapsed="false">
      <c r="B192" s="8" t="n">
        <v>49</v>
      </c>
      <c r="C192" s="13" t="n">
        <v>1</v>
      </c>
      <c r="D192" s="8" t="n">
        <f aca="false">(SQRT($D$114^2 + $D$117^2 + $D$116^2 + 2*$D$114*$D$117 + 2*$D$117*$C$119 - 2*($D$116 + C192)*($D$114 + $C$119 + $D$117) + 2*COS(RADIANS(180-B192))*SQRT($C$119^2 + 2*$D$114*$C$119)*SQRT(C192^2 + 2*$D$116*C192)) - $D$115) * 1000</f>
        <v>8085.2494101382</v>
      </c>
    </row>
    <row r="193" customFormat="false" ht="12.8" hidden="false" customHeight="false" outlineLevel="0" collapsed="false">
      <c r="B193" s="8"/>
      <c r="C193" s="13" t="n">
        <v>5</v>
      </c>
      <c r="D193" s="8" t="n">
        <f aca="false">(SQRT($D$114^2 + $D$117^2 + $D$116^2 + 2*$D$114*$D$117 + 2*$D$117*$C$119 - 2*($D$116 + C193)*($D$114 + $C$119 + $D$117) + 2*COS(RADIANS(180-B193))*SQRT($C$119^2 + 2*$D$114*$C$119)*SQRT(C193^2 + 2*$D$116*C193)) - $D$115) * 1000</f>
        <v>-5361.28993425518</v>
      </c>
    </row>
    <row r="194" customFormat="false" ht="12.8" hidden="false" customHeight="false" outlineLevel="0" collapsed="false">
      <c r="B194" s="8"/>
      <c r="C194" s="13" t="n">
        <v>2.6</v>
      </c>
      <c r="D194" s="8" t="n">
        <f aca="false">(SQRT($D$114^2 + $D$117^2 + $D$116^2 + 2*$D$114*$D$117 + 2*$D$117*$C$119 - 2*($D$116 + C194)*($D$114 + $C$119 + $D$117) + 2*COS(RADIANS(180-B194))*SQRT($C$119^2 + 2*$D$114*$C$119)*SQRT(C194^2 + 2*$D$116*C194)) - $D$115) * 1000</f>
        <v>889.850250216114</v>
      </c>
    </row>
  </sheetData>
  <mergeCells count="162">
    <mergeCell ref="B2:B4"/>
    <mergeCell ref="F2:F4"/>
    <mergeCell ref="H2:H4"/>
    <mergeCell ref="J2:J4"/>
    <mergeCell ref="K2:K97"/>
    <mergeCell ref="L2:L97"/>
    <mergeCell ref="M2:M97"/>
    <mergeCell ref="N2:N97"/>
    <mergeCell ref="O2:O97"/>
    <mergeCell ref="P2:P97"/>
    <mergeCell ref="Q2:Q97"/>
    <mergeCell ref="R2:R97"/>
    <mergeCell ref="B5:B7"/>
    <mergeCell ref="F5:F7"/>
    <mergeCell ref="H5:H7"/>
    <mergeCell ref="J5:J7"/>
    <mergeCell ref="B8:B10"/>
    <mergeCell ref="F8:F10"/>
    <mergeCell ref="H8:H10"/>
    <mergeCell ref="J8:J10"/>
    <mergeCell ref="B11:B13"/>
    <mergeCell ref="F11:F13"/>
    <mergeCell ref="H11:H13"/>
    <mergeCell ref="J11:J13"/>
    <mergeCell ref="B14:B16"/>
    <mergeCell ref="F14:F16"/>
    <mergeCell ref="H14:H16"/>
    <mergeCell ref="J14:J16"/>
    <mergeCell ref="B17:B19"/>
    <mergeCell ref="F17:F19"/>
    <mergeCell ref="H17:H19"/>
    <mergeCell ref="J17:J19"/>
    <mergeCell ref="B20:B22"/>
    <mergeCell ref="F20:F22"/>
    <mergeCell ref="H20:H22"/>
    <mergeCell ref="J20:J22"/>
    <mergeCell ref="B23:B25"/>
    <mergeCell ref="F23:F25"/>
    <mergeCell ref="H23:H25"/>
    <mergeCell ref="J23:J25"/>
    <mergeCell ref="B26:B28"/>
    <mergeCell ref="F26:F28"/>
    <mergeCell ref="H26:H28"/>
    <mergeCell ref="J26:J28"/>
    <mergeCell ref="B29:B31"/>
    <mergeCell ref="F29:F31"/>
    <mergeCell ref="H29:H31"/>
    <mergeCell ref="J29:J31"/>
    <mergeCell ref="B32:B34"/>
    <mergeCell ref="F32:F34"/>
    <mergeCell ref="H32:H34"/>
    <mergeCell ref="J32:J34"/>
    <mergeCell ref="B35:B37"/>
    <mergeCell ref="F35:F37"/>
    <mergeCell ref="H35:H37"/>
    <mergeCell ref="J35:J37"/>
    <mergeCell ref="B38:B40"/>
    <mergeCell ref="F38:F40"/>
    <mergeCell ref="H38:H40"/>
    <mergeCell ref="J38:J40"/>
    <mergeCell ref="B41:B43"/>
    <mergeCell ref="F41:F43"/>
    <mergeCell ref="H41:H43"/>
    <mergeCell ref="J41:J43"/>
    <mergeCell ref="B44:B46"/>
    <mergeCell ref="F44:F46"/>
    <mergeCell ref="H44:H46"/>
    <mergeCell ref="J44:J46"/>
    <mergeCell ref="B47:B49"/>
    <mergeCell ref="F47:F49"/>
    <mergeCell ref="H47:H49"/>
    <mergeCell ref="J47:J49"/>
    <mergeCell ref="B50:B52"/>
    <mergeCell ref="F50:F52"/>
    <mergeCell ref="H50:H52"/>
    <mergeCell ref="J50:J52"/>
    <mergeCell ref="B53:B55"/>
    <mergeCell ref="C53:J55"/>
    <mergeCell ref="F53:F55"/>
    <mergeCell ref="H53:H55"/>
    <mergeCell ref="J53:J55"/>
    <mergeCell ref="B56:B58"/>
    <mergeCell ref="F56:F58"/>
    <mergeCell ref="H56:H58"/>
    <mergeCell ref="J56:J58"/>
    <mergeCell ref="B59:B61"/>
    <mergeCell ref="C59:J61"/>
    <mergeCell ref="F59:F61"/>
    <mergeCell ref="H59:H61"/>
    <mergeCell ref="J59:J61"/>
    <mergeCell ref="B62:B64"/>
    <mergeCell ref="F62:F64"/>
    <mergeCell ref="H62:H64"/>
    <mergeCell ref="J62:J64"/>
    <mergeCell ref="B65:B67"/>
    <mergeCell ref="F65:F67"/>
    <mergeCell ref="H65:H67"/>
    <mergeCell ref="J65:J67"/>
    <mergeCell ref="B68:B70"/>
    <mergeCell ref="F68:F70"/>
    <mergeCell ref="H68:H70"/>
    <mergeCell ref="J68:J70"/>
    <mergeCell ref="B71:B73"/>
    <mergeCell ref="F71:F73"/>
    <mergeCell ref="H71:H73"/>
    <mergeCell ref="J71:J73"/>
    <mergeCell ref="B74:B76"/>
    <mergeCell ref="F74:F76"/>
    <mergeCell ref="H74:H76"/>
    <mergeCell ref="J74:J76"/>
    <mergeCell ref="B77:B79"/>
    <mergeCell ref="F77:F79"/>
    <mergeCell ref="H77:H79"/>
    <mergeCell ref="J77:J79"/>
    <mergeCell ref="B80:B82"/>
    <mergeCell ref="F80:F82"/>
    <mergeCell ref="H80:H82"/>
    <mergeCell ref="J80:J82"/>
    <mergeCell ref="B83:B85"/>
    <mergeCell ref="F83:F85"/>
    <mergeCell ref="H83:H85"/>
    <mergeCell ref="J83:J85"/>
    <mergeCell ref="B86:B88"/>
    <mergeCell ref="F86:F88"/>
    <mergeCell ref="H86:H88"/>
    <mergeCell ref="J86:J88"/>
    <mergeCell ref="B89:B91"/>
    <mergeCell ref="F89:F91"/>
    <mergeCell ref="H89:H91"/>
    <mergeCell ref="J89:J91"/>
    <mergeCell ref="B92:B94"/>
    <mergeCell ref="F92:F94"/>
    <mergeCell ref="H92:H94"/>
    <mergeCell ref="J92:J94"/>
    <mergeCell ref="B95:B97"/>
    <mergeCell ref="F95:F97"/>
    <mergeCell ref="H95:H97"/>
    <mergeCell ref="J95:J97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2026-08-14T11:30:19Z</dcterms:created>
  <dc:creator/>
  <dc:description/>
  <dc:language>en-GB</dc:language>
  <cp:lastModifiedBy/>
  <dcterms:modified xsi:type="dcterms:W3CDTF">2026-08-14T22:42:57Z</dcterms:modified>
  <cp:revision>7</cp:revision>
  <dc:subject/>
  <dc:title/>
</cp:coreProperties>
</file>